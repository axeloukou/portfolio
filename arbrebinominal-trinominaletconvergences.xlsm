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xl/ctrlProps/ctrlProp3.xml" ContentType="application/vnd.ms-excel.controlproperties+xml"/>
  <Override PartName="/xl/drawings/drawing2.xml" ContentType="application/vnd.openxmlformats-officedocument.drawing+xml"/>
  <Override PartName="/xl/ctrlProps/ctrlProp4.xml" ContentType="application/vnd.ms-excel.controlproperties+xml"/>
  <Override PartName="/xl/ctrlProps/ctrlProp5.xml" ContentType="application/vnd.ms-excel.controlproperties+xml"/>
  <Override PartName="/xl/ctrlProps/ctrlProp6.xml" ContentType="application/vnd.ms-excel.controlproperties+xml"/>
  <Override PartName="/xl/drawings/drawing3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10209" codeName="{857A39E2-67AF-9BA6-E15C-A4B3A0C75593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/Users/axelloukou/Downloads/"/>
    </mc:Choice>
  </mc:AlternateContent>
  <xr:revisionPtr revIDLastSave="0" documentId="8_{1CF0D875-68A9-094A-8CF7-7FBEE6F72F6B}" xr6:coauthVersionLast="47" xr6:coauthVersionMax="47" xr10:uidLastSave="{00000000-0000-0000-0000-000000000000}"/>
  <bookViews>
    <workbookView xWindow="3420" yWindow="500" windowWidth="20740" windowHeight="11740" xr2:uid="{00000000-000D-0000-FFFF-FFFF00000000}"/>
  </bookViews>
  <sheets>
    <sheet name="ARBRE_BINOMIAL" sheetId="1" r:id="rId1"/>
    <sheet name="ARBRE_TRINOMIAL" sheetId="2" r:id="rId2"/>
    <sheet name="CONVERGENCES" sheetId="3" r:id="rId3"/>
  </sheets>
  <functionGroups builtInGroupCount="19"/>
  <definedNames>
    <definedName name="MATURITE">ARBRE_TRINOMIAL!$B$5</definedName>
    <definedName name="MATURITE_B">ARBRE_BINOMIAL!$B$4</definedName>
    <definedName name="NOMBRE">ARBRE_TRINOMIAL!$B$8</definedName>
    <definedName name="NOMBRE_B">ARBRE_BINOMIAL!$B$8</definedName>
    <definedName name="OPTION">ARBRE_TRINOMIAL!$B$2</definedName>
    <definedName name="OPTION_B">ARBRE_BINOMIAL!$B$2</definedName>
    <definedName name="PRIX">ARBRE_TRINOMIAL!$B$9</definedName>
    <definedName name="PRIX_B">ARBRE_BINOMIAL!$B$9</definedName>
    <definedName name="SIGMA">ARBRE_TRINOMIAL!$B$7</definedName>
    <definedName name="SIGMA_B">ARBRE_BINOMIAL!$B$7</definedName>
    <definedName name="SOUS_JACENT">ARBRE_TRINOMIAL!$B$3</definedName>
    <definedName name="SOUS_JACENT_B">ARBRE_BINOMIAL!$B$3</definedName>
    <definedName name="STRIKE">ARBRE_TRINOMIAL!$B$4</definedName>
    <definedName name="STRIKE_B">ARBRE_BINOMIAL!$B$5</definedName>
    <definedName name="TAUX">ARBRE_TRINOMIAL!$B$6</definedName>
    <definedName name="TAUX_B">ARBRE_BINOMIAL!$B$6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H2" i="3" l="1"/>
  <c r="F2" i="3"/>
  <c r="H3" i="3"/>
  <c r="H19" i="3"/>
  <c r="H35" i="3"/>
  <c r="H51" i="3"/>
  <c r="H16" i="3"/>
  <c r="H32" i="3"/>
  <c r="H48" i="3"/>
  <c r="H17" i="3"/>
  <c r="H33" i="3"/>
  <c r="H49" i="3"/>
  <c r="H18" i="3"/>
  <c r="H34" i="3"/>
  <c r="H50" i="3"/>
  <c r="G11" i="3"/>
  <c r="G27" i="3"/>
  <c r="G43" i="3"/>
  <c r="G12" i="3"/>
  <c r="G28" i="3"/>
  <c r="G44" i="3"/>
  <c r="G13" i="3"/>
  <c r="G29" i="3"/>
  <c r="G45" i="3"/>
  <c r="G14" i="3"/>
  <c r="G30" i="3"/>
  <c r="G46" i="3"/>
  <c r="F3" i="3"/>
  <c r="F19" i="3"/>
  <c r="F35" i="3"/>
  <c r="F51" i="3"/>
  <c r="F33" i="3"/>
  <c r="F18" i="3"/>
  <c r="F50" i="3"/>
  <c r="F16" i="3"/>
  <c r="F32" i="3"/>
  <c r="F48" i="3"/>
  <c r="F29" i="3"/>
  <c r="F14" i="3"/>
  <c r="F46" i="3"/>
  <c r="H7" i="3"/>
  <c r="H23" i="3"/>
  <c r="H39" i="3"/>
  <c r="H4" i="3"/>
  <c r="H20" i="3"/>
  <c r="H36" i="3"/>
  <c r="H5" i="3"/>
  <c r="H21" i="3"/>
  <c r="H37" i="3"/>
  <c r="H6" i="3"/>
  <c r="H22" i="3"/>
  <c r="H38" i="3"/>
  <c r="G15" i="3"/>
  <c r="G31" i="3"/>
  <c r="G47" i="3"/>
  <c r="G16" i="3"/>
  <c r="G32" i="3"/>
  <c r="G48" i="3"/>
  <c r="G17" i="3"/>
  <c r="G33" i="3"/>
  <c r="G49" i="3"/>
  <c r="G18" i="3"/>
  <c r="G34" i="3"/>
  <c r="G50" i="3"/>
  <c r="F7" i="3"/>
  <c r="F23" i="3"/>
  <c r="F39" i="3"/>
  <c r="F9" i="3"/>
  <c r="F41" i="3"/>
  <c r="F26" i="3"/>
  <c r="F4" i="3"/>
  <c r="F20" i="3"/>
  <c r="F36" i="3"/>
  <c r="F5" i="3"/>
  <c r="F37" i="3"/>
  <c r="F22" i="3"/>
  <c r="H11" i="3"/>
  <c r="H27" i="3"/>
  <c r="H43" i="3"/>
  <c r="H8" i="3"/>
  <c r="H24" i="3"/>
  <c r="H40" i="3"/>
  <c r="H9" i="3"/>
  <c r="H25" i="3"/>
  <c r="H41" i="3"/>
  <c r="H10" i="3"/>
  <c r="H26" i="3"/>
  <c r="H42" i="3"/>
  <c r="G3" i="3"/>
  <c r="G19" i="3"/>
  <c r="G35" i="3"/>
  <c r="G4" i="3"/>
  <c r="G20" i="3"/>
  <c r="G36" i="3"/>
  <c r="G5" i="3"/>
  <c r="G21" i="3"/>
  <c r="G37" i="3"/>
  <c r="G6" i="3"/>
  <c r="G22" i="3"/>
  <c r="G38" i="3"/>
  <c r="G51" i="3"/>
  <c r="F11" i="3"/>
  <c r="F27" i="3"/>
  <c r="F43" i="3"/>
  <c r="F17" i="3"/>
  <c r="F49" i="3"/>
  <c r="F34" i="3"/>
  <c r="F8" i="3"/>
  <c r="F24" i="3"/>
  <c r="F40" i="3"/>
  <c r="F13" i="3"/>
  <c r="F45" i="3"/>
  <c r="F30" i="3"/>
  <c r="H15" i="3"/>
  <c r="H31" i="3"/>
  <c r="H47" i="3"/>
  <c r="H12" i="3"/>
  <c r="H28" i="3"/>
  <c r="H44" i="3"/>
  <c r="H13" i="3"/>
  <c r="H29" i="3"/>
  <c r="H45" i="3"/>
  <c r="H14" i="3"/>
  <c r="H30" i="3"/>
  <c r="H46" i="3"/>
  <c r="G7" i="3"/>
  <c r="G23" i="3"/>
  <c r="G39" i="3"/>
  <c r="G8" i="3"/>
  <c r="G24" i="3"/>
  <c r="G40" i="3"/>
  <c r="G9" i="3"/>
  <c r="G25" i="3"/>
  <c r="G41" i="3"/>
  <c r="G10" i="3"/>
  <c r="G26" i="3"/>
  <c r="G42" i="3"/>
  <c r="G2" i="3"/>
  <c r="F15" i="3"/>
  <c r="F31" i="3"/>
  <c r="F47" i="3"/>
  <c r="F25" i="3"/>
  <c r="F10" i="3"/>
  <c r="F42" i="3"/>
  <c r="F12" i="3"/>
  <c r="F28" i="3"/>
  <c r="F44" i="3"/>
  <c r="F21" i="3"/>
  <c r="F6" i="3"/>
  <c r="F38" i="3"/>
</calcChain>
</file>

<file path=xl/sharedStrings.xml><?xml version="1.0" encoding="utf-8"?>
<sst xmlns="http://schemas.openxmlformats.org/spreadsheetml/2006/main" count="30" uniqueCount="13">
  <si>
    <t>Call</t>
  </si>
  <si>
    <t>Option</t>
  </si>
  <si>
    <t>S</t>
  </si>
  <si>
    <t>K</t>
  </si>
  <si>
    <t>T</t>
  </si>
  <si>
    <t>r</t>
  </si>
  <si>
    <t>sigma</t>
  </si>
  <si>
    <t>n</t>
  </si>
  <si>
    <t>ARBRE BINOMINAL</t>
  </si>
  <si>
    <t>ARBRE TRINOMINAL</t>
  </si>
  <si>
    <t>B&amp;S</t>
  </si>
  <si>
    <t>Convergence Arbre Binomial</t>
  </si>
  <si>
    <t>Convergence Arbre Trinomial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</si>
</sst>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0" x14ac:knownFonts="1">
    <font>
      <sz val="11"/>
      <color theme="1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F0000"/>
      <name val="Calibri"/>
      <family val="2"/>
      <scheme val="minor"/>
    </font>
    <font>
      <sz val="11"/>
      <color rgb="FF000000"/>
      <name val="Calibri"/>
      <family val="2"/>
    </font>
    <font>
      <sz val="11"/>
      <color theme="1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FA7D00"/>
      <name val="Calibri"/>
      <family val="2"/>
      <scheme val="minor"/>
    </font>
    <font>
      <sz val="12"/>
      <color rgb="FF000000"/>
      <name val="Calibri"/>
      <family val="2"/>
    </font>
  </fonts>
  <fills count="16">
    <fill>
      <patternFill patternType="none"/>
    </fill>
    <fill>
      <patternFill patternType="gray125"/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theme="6" tint="0.79998168889431442"/>
        <bgColor indexed="65"/>
      </patternFill>
    </fill>
    <fill>
      <patternFill patternType="solid">
        <fgColor indexed="43"/>
        <bgColor indexed="64"/>
      </patternFill>
    </fill>
    <fill>
      <patternFill patternType="solid">
        <fgColor indexed="44"/>
        <bgColor indexed="64"/>
      </patternFill>
    </fill>
    <fill>
      <patternFill patternType="solid">
        <fgColor indexed="45"/>
        <bgColor indexed="64"/>
      </patternFill>
    </fill>
    <fill>
      <patternFill patternType="solid">
        <fgColor indexed="46"/>
        <bgColor indexed="64"/>
      </patternFill>
    </fill>
    <fill>
      <patternFill patternType="solid">
        <fgColor indexed="47"/>
        <bgColor indexed="64"/>
      </patternFill>
    </fill>
    <fill>
      <patternFill patternType="solid">
        <fgColor indexed="48"/>
        <bgColor indexed="64"/>
      </patternFill>
    </fill>
    <fill>
      <patternFill patternType="solid">
        <fgColor indexed="49"/>
        <bgColor indexed="64"/>
      </patternFill>
    </fill>
    <fill>
      <patternFill patternType="solid">
        <fgColor indexed="50"/>
        <bgColor indexed="64"/>
      </patternFill>
    </fill>
    <fill>
      <patternFill patternType="solid">
        <fgColor indexed="51"/>
        <bgColor indexed="64"/>
      </patternFill>
    </fill>
    <fill>
      <patternFill patternType="solid">
        <fgColor indexed="52"/>
        <bgColor indexed="64"/>
      </patternFill>
    </fill>
    <fill>
      <patternFill patternType="solid">
        <fgColor indexed="53"/>
        <bgColor indexed="64"/>
      </patternFill>
    </fill>
  </fills>
  <borders count="8">
    <border>
      <left/>
      <right/>
      <top/>
      <bottom/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/>
      <top/>
      <bottom style="double">
        <color rgb="FFFF8001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</borders>
  <cellStyleXfs count="8">
    <xf numFmtId="0" fontId="0" fillId="0" borderId="0"/>
    <xf numFmtId="0" fontId="1" fillId="2" borderId="1" applyNumberFormat="0" applyAlignment="0" applyProtection="0"/>
    <xf numFmtId="0" fontId="2" fillId="3" borderId="4" applyNumberFormat="0" applyAlignment="0" applyProtection="0"/>
    <xf numFmtId="0" fontId="3" fillId="3" borderId="1" applyNumberFormat="0" applyAlignment="0" applyProtection="0"/>
    <xf numFmtId="0" fontId="4" fillId="0" borderId="0" applyNumberFormat="0" applyFill="0" applyBorder="0" applyAlignment="0" applyProtection="0"/>
    <xf numFmtId="0" fontId="7" fillId="0" borderId="0" applyNumberFormat="0" applyFill="0" applyBorder="0" applyAlignment="0" applyProtection="0"/>
    <xf numFmtId="0" fontId="8" fillId="0" borderId="6" applyNumberFormat="0" applyFill="0" applyAlignment="0" applyProtection="0"/>
    <xf numFmtId="0" fontId="6" fillId="4" borderId="0" applyNumberFormat="0" applyBorder="0" applyAlignment="0" applyProtection="0"/>
  </cellStyleXfs>
  <cellXfs count="29">
    <xf numFmtId="0" fontId="0" fillId="0" borderId="0" xfId="0"/>
    <xf numFmtId="0" fontId="1" fillId="2" borderId="2" xfId="1" applyBorder="1" applyAlignment="1">
      <alignment horizontal="center"/>
    </xf>
    <xf numFmtId="0" fontId="1" fillId="2" borderId="3" xfId="1" applyBorder="1" applyAlignment="1">
      <alignment horizontal="center"/>
    </xf>
    <xf numFmtId="0" fontId="3" fillId="3" borderId="0" xfId="3" applyBorder="1"/>
    <xf numFmtId="0" fontId="0" fillId="0" borderId="5" xfId="0" applyBorder="1"/>
    <xf numFmtId="0" fontId="2" fillId="3" borderId="4" xfId="2"/>
    <xf numFmtId="14" fontId="2" fillId="3" borderId="4" xfId="2" applyNumberFormat="1"/>
    <xf numFmtId="9" fontId="2" fillId="3" borderId="4" xfId="2" applyNumberFormat="1"/>
    <xf numFmtId="0" fontId="3" fillId="3" borderId="5" xfId="3" applyBorder="1"/>
    <xf numFmtId="0" fontId="4" fillId="0" borderId="0" xfId="4"/>
    <xf numFmtId="0" fontId="0" fillId="5" borderId="7" xfId="0" applyFill="1" applyBorder="1"/>
    <xf numFmtId="0" fontId="0" fillId="6" borderId="7" xfId="0" applyFill="1" applyBorder="1"/>
    <xf numFmtId="0" fontId="0" fillId="7" borderId="7" xfId="0" applyFill="1" applyBorder="1"/>
    <xf numFmtId="0" fontId="0" fillId="8" borderId="7" xfId="0" applyFill="1" applyBorder="1"/>
    <xf numFmtId="0" fontId="0" fillId="9" borderId="7" xfId="0" applyFill="1" applyBorder="1"/>
    <xf numFmtId="0" fontId="0" fillId="10" borderId="7" xfId="0" applyFill="1" applyBorder="1"/>
    <xf numFmtId="0" fontId="0" fillId="11" borderId="7" xfId="0" applyFill="1" applyBorder="1"/>
    <xf numFmtId="0" fontId="0" fillId="12" borderId="7" xfId="0" applyFill="1" applyBorder="1"/>
    <xf numFmtId="0" fontId="0" fillId="13" borderId="7" xfId="0" applyFill="1" applyBorder="1"/>
    <xf numFmtId="0" fontId="0" fillId="14" borderId="7" xfId="0" applyFill="1" applyBorder="1"/>
    <xf numFmtId="0" fontId="0" fillId="15" borderId="7" xfId="0" applyFill="1" applyBorder="1"/>
    <xf numFmtId="0" fontId="8" fillId="0" borderId="6" xfId="6"/>
    <xf numFmtId="0" fontId="7" fillId="0" borderId="0" xfId="5"/>
    <xf numFmtId="0" fontId="7" fillId="0" borderId="0" xfId="5" applyAlignment="1">
      <alignment horizontal="center" vertical="center" wrapText="1"/>
    </xf>
    <xf numFmtId="0" fontId="7" fillId="0" borderId="0" xfId="5" applyAlignment="1">
      <alignment horizontal="center" vertical="center"/>
    </xf>
    <xf numFmtId="0" fontId="6" fillId="4" borderId="0" xfId="7"/>
    <xf numFmtId="0" fontId="2" fillId="3" borderId="4" xfId="2" applyNumberFormat="1"/>
    <xf numFmtId="0" fontId="1" fillId="2" borderId="2" xfId="1" applyBorder="1" applyAlignment="1">
      <alignment horizontal="center"/>
    </xf>
    <xf numFmtId="0" fontId="1" fillId="2" borderId="3" xfId="1" applyBorder="1" applyAlignment="1">
      <alignment horizontal="center"/>
    </xf>
  </cellXfs>
  <cellStyles count="8">
    <cellStyle name="20 % - Accent3" xfId="7" builtinId="38"/>
    <cellStyle name="Avertissement" xfId="4" builtinId="11"/>
    <cellStyle name="Calcul" xfId="3" builtinId="22"/>
    <cellStyle name="Cellule liée" xfId="6" builtinId="24"/>
    <cellStyle name="Entrée" xfId="1" builtinId="20"/>
    <cellStyle name="Normal" xfId="0" builtinId="0"/>
    <cellStyle name="Sortie" xfId="2" builtinId="21"/>
    <cellStyle name="Titre 4" xfId="5" builtinId="19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fr-FR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cap="all" spc="150" baseline="0">
                <a:solidFill>
                  <a:schemeClr val="tx1">
                    <a:lumMod val="50000"/>
                    <a:lumOff val="50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fr-FR"/>
              <a:t>Convergences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cap="all" spc="150" baseline="0">
              <a:solidFill>
                <a:schemeClr val="tx1">
                  <a:lumMod val="50000"/>
                  <a:lumOff val="50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strRef>
              <c:f>CONVERGENCES!$F$1</c:f>
              <c:strCache>
                <c:ptCount val="1"/>
                <c:pt idx="0">
                  <c:v>B&amp;S</c:v>
                </c:pt>
              </c:strCache>
            </c:strRef>
          </c:tx>
          <c:spPr>
            <a:ln w="38100" cap="flat" cmpd="dbl" algn="ctr">
              <a:solidFill>
                <a:schemeClr val="accent1"/>
              </a:solidFill>
              <a:miter lim="800000"/>
            </a:ln>
            <a:effectLst/>
          </c:spPr>
          <c:marker>
            <c:symbol val="none"/>
          </c:marker>
          <c:val>
            <c:numRef>
              <c:f>CONVERGENCES!$F$2:$F$51</c:f>
              <c:numCache>
                <c:formatCode>General</c:formatCode>
                <c:ptCount val="50"/>
                <c:pt idx="0">
                  <c:v>28.759485824635565</c:v>
                </c:pt>
                <c:pt idx="1">
                  <c:v>28.759485824635565</c:v>
                </c:pt>
                <c:pt idx="2">
                  <c:v>28.759485824635565</c:v>
                </c:pt>
                <c:pt idx="3">
                  <c:v>28.759485824635565</c:v>
                </c:pt>
                <c:pt idx="4">
                  <c:v>28.759485824635565</c:v>
                </c:pt>
                <c:pt idx="5">
                  <c:v>28.759485824635565</c:v>
                </c:pt>
                <c:pt idx="6">
                  <c:v>28.759485824635565</c:v>
                </c:pt>
                <c:pt idx="7">
                  <c:v>28.759485824635565</c:v>
                </c:pt>
                <c:pt idx="8">
                  <c:v>28.759485824635565</c:v>
                </c:pt>
                <c:pt idx="9">
                  <c:v>28.759485824635565</c:v>
                </c:pt>
                <c:pt idx="10">
                  <c:v>28.759485824635565</c:v>
                </c:pt>
                <c:pt idx="11">
                  <c:v>28.759485824635565</c:v>
                </c:pt>
                <c:pt idx="12">
                  <c:v>28.759485824635565</c:v>
                </c:pt>
                <c:pt idx="13">
                  <c:v>28.759485824635565</c:v>
                </c:pt>
                <c:pt idx="14">
                  <c:v>28.759485824635565</c:v>
                </c:pt>
                <c:pt idx="15">
                  <c:v>28.759485824635565</c:v>
                </c:pt>
                <c:pt idx="16">
                  <c:v>28.759485824635565</c:v>
                </c:pt>
                <c:pt idx="17">
                  <c:v>28.759485824635565</c:v>
                </c:pt>
                <c:pt idx="18">
                  <c:v>28.759485824635565</c:v>
                </c:pt>
                <c:pt idx="19">
                  <c:v>28.759485824635565</c:v>
                </c:pt>
                <c:pt idx="20">
                  <c:v>28.759485824635565</c:v>
                </c:pt>
                <c:pt idx="21">
                  <c:v>28.759485824635565</c:v>
                </c:pt>
                <c:pt idx="22">
                  <c:v>28.759485824635565</c:v>
                </c:pt>
                <c:pt idx="23">
                  <c:v>28.759485824635565</c:v>
                </c:pt>
                <c:pt idx="24">
                  <c:v>28.759485824635565</c:v>
                </c:pt>
                <c:pt idx="25">
                  <c:v>28.759485824635565</c:v>
                </c:pt>
                <c:pt idx="26">
                  <c:v>28.759485824635565</c:v>
                </c:pt>
                <c:pt idx="27">
                  <c:v>28.759485824635565</c:v>
                </c:pt>
                <c:pt idx="28">
                  <c:v>28.759485824635565</c:v>
                </c:pt>
                <c:pt idx="29">
                  <c:v>28.759485824635565</c:v>
                </c:pt>
                <c:pt idx="30">
                  <c:v>28.759485824635565</c:v>
                </c:pt>
                <c:pt idx="31">
                  <c:v>28.759485824635565</c:v>
                </c:pt>
                <c:pt idx="32">
                  <c:v>28.759485824635565</c:v>
                </c:pt>
                <c:pt idx="33">
                  <c:v>28.759485824635565</c:v>
                </c:pt>
                <c:pt idx="34">
                  <c:v>28.759485824635565</c:v>
                </c:pt>
                <c:pt idx="35">
                  <c:v>28.759485824635565</c:v>
                </c:pt>
                <c:pt idx="36">
                  <c:v>28.759485824635565</c:v>
                </c:pt>
                <c:pt idx="37">
                  <c:v>28.759485824635565</c:v>
                </c:pt>
                <c:pt idx="38">
                  <c:v>28.759485824635565</c:v>
                </c:pt>
                <c:pt idx="39">
                  <c:v>28.759485824635565</c:v>
                </c:pt>
                <c:pt idx="40">
                  <c:v>28.759485824635565</c:v>
                </c:pt>
                <c:pt idx="41">
                  <c:v>28.759485824635565</c:v>
                </c:pt>
                <c:pt idx="42">
                  <c:v>28.759485824635565</c:v>
                </c:pt>
                <c:pt idx="43">
                  <c:v>28.759485824635565</c:v>
                </c:pt>
                <c:pt idx="44">
                  <c:v>28.759485824635565</c:v>
                </c:pt>
                <c:pt idx="45">
                  <c:v>28.759485824635565</c:v>
                </c:pt>
                <c:pt idx="46">
                  <c:v>28.759485824635565</c:v>
                </c:pt>
                <c:pt idx="47">
                  <c:v>28.759485824635565</c:v>
                </c:pt>
                <c:pt idx="48">
                  <c:v>28.759485824635565</c:v>
                </c:pt>
                <c:pt idx="49">
                  <c:v>28.759485824635565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CD24-468E-843D-5FA08EC67AD7}"/>
            </c:ext>
          </c:extLst>
        </c:ser>
        <c:ser>
          <c:idx val="1"/>
          <c:order val="1"/>
          <c:tx>
            <c:strRef>
              <c:f>CONVERGENCES!$G$1</c:f>
              <c:strCache>
                <c:ptCount val="1"/>
                <c:pt idx="0">
                  <c:v>Convergence Arbre Binomial</c:v>
                </c:pt>
              </c:strCache>
            </c:strRef>
          </c:tx>
          <c:spPr>
            <a:ln w="38100" cap="flat" cmpd="dbl" algn="ctr">
              <a:solidFill>
                <a:schemeClr val="accent2"/>
              </a:solidFill>
              <a:miter lim="800000"/>
            </a:ln>
            <a:effectLst/>
          </c:spPr>
          <c:marker>
            <c:symbol val="none"/>
          </c:marker>
          <c:val>
            <c:numRef>
              <c:f>CONVERGENCES!$G$2:$G$51</c:f>
              <c:numCache>
                <c:formatCode>General</c:formatCode>
                <c:ptCount val="50"/>
                <c:pt idx="0">
                  <c:v>28.756812554088736</c:v>
                </c:pt>
                <c:pt idx="1">
                  <c:v>28.555545518513934</c:v>
                </c:pt>
                <c:pt idx="2">
                  <c:v>28.866978605965365</c:v>
                </c:pt>
                <c:pt idx="3">
                  <c:v>28.846917555159926</c:v>
                </c:pt>
                <c:pt idx="4">
                  <c:v>28.687325575663881</c:v>
                </c:pt>
                <c:pt idx="5">
                  <c:v>28.812006799018519</c:v>
                </c:pt>
                <c:pt idx="6">
                  <c:v>28.800854004588896</c:v>
                </c:pt>
                <c:pt idx="7">
                  <c:v>28.717964981260234</c:v>
                </c:pt>
                <c:pt idx="8">
                  <c:v>28.805537880000831</c:v>
                </c:pt>
                <c:pt idx="9">
                  <c:v>28.762331285049878</c:v>
                </c:pt>
                <c:pt idx="10">
                  <c:v>28.771480284952037</c:v>
                </c:pt>
                <c:pt idx="11">
                  <c:v>28.790221742147565</c:v>
                </c:pt>
                <c:pt idx="12">
                  <c:v>28.723156732011706</c:v>
                </c:pt>
                <c:pt idx="13">
                  <c:v>28.788484834534454</c:v>
                </c:pt>
                <c:pt idx="14">
                  <c:v>28.760281306322234</c:v>
                </c:pt>
                <c:pt idx="15">
                  <c:v>28.771036864672428</c:v>
                </c:pt>
                <c:pt idx="16">
                  <c:v>28.778544996869734</c:v>
                </c:pt>
                <c:pt idx="17">
                  <c:v>28.745142837232333</c:v>
                </c:pt>
                <c:pt idx="18">
                  <c:v>28.781800643717187</c:v>
                </c:pt>
                <c:pt idx="19">
                  <c:v>28.748736130174958</c:v>
                </c:pt>
                <c:pt idx="20">
                  <c:v>28.775398998349512</c:v>
                </c:pt>
                <c:pt idx="21">
                  <c:v>28.766571254636499</c:v>
                </c:pt>
                <c:pt idx="22">
                  <c:v>28.762706951799174</c:v>
                </c:pt>
                <c:pt idx="23">
                  <c:v>28.774667171274622</c:v>
                </c:pt>
                <c:pt idx="24">
                  <c:v>28.745907996865068</c:v>
                </c:pt>
                <c:pt idx="25">
                  <c:v>28.77575963598024</c:v>
                </c:pt>
                <c:pt idx="26">
                  <c:v>28.751615911865386</c:v>
                </c:pt>
                <c:pt idx="27">
                  <c:v>28.771765488715346</c:v>
                </c:pt>
                <c:pt idx="28">
                  <c:v>28.763550057142329</c:v>
                </c:pt>
                <c:pt idx="29">
                  <c:v>28.764053647575672</c:v>
                </c:pt>
                <c:pt idx="30">
                  <c:v>28.769979574305825</c:v>
                </c:pt>
                <c:pt idx="31">
                  <c:v>28.753617733609818</c:v>
                </c:pt>
                <c:pt idx="32">
                  <c:v>28.772129386975305</c:v>
                </c:pt>
                <c:pt idx="33">
                  <c:v>28.74753623570065</c:v>
                </c:pt>
                <c:pt idx="34">
                  <c:v>28.77093149802338</c:v>
                </c:pt>
                <c:pt idx="35">
                  <c:v>28.757913977467005</c:v>
                </c:pt>
                <c:pt idx="36">
                  <c:v>28.767103236661669</c:v>
                </c:pt>
                <c:pt idx="37">
                  <c:v>28.764605673842404</c:v>
                </c:pt>
                <c:pt idx="38">
                  <c:v>28.761202349764147</c:v>
                </c:pt>
                <c:pt idx="39">
                  <c:v>28.768281362904837</c:v>
                </c:pt>
                <c:pt idx="40">
                  <c:v>28.753666426955391</c:v>
                </c:pt>
                <c:pt idx="41">
                  <c:v>28.769478646452875</c:v>
                </c:pt>
                <c:pt idx="42">
                  <c:v>28.750201610067467</c:v>
                </c:pt>
                <c:pt idx="43">
                  <c:v>28.768632186160964</c:v>
                </c:pt>
                <c:pt idx="44">
                  <c:v>28.757631999576919</c:v>
                </c:pt>
                <c:pt idx="45">
                  <c:v>28.766095868060951</c:v>
                </c:pt>
                <c:pt idx="46">
                  <c:v>28.762752623908625</c:v>
                </c:pt>
                <c:pt idx="47">
                  <c:v>28.762159640181537</c:v>
                </c:pt>
                <c:pt idx="48">
                  <c:v>28.765908474073612</c:v>
                </c:pt>
                <c:pt idx="49">
                  <c:v>28.757062432831283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CD24-468E-843D-5FA08EC67AD7}"/>
            </c:ext>
          </c:extLst>
        </c:ser>
        <c:ser>
          <c:idx val="2"/>
          <c:order val="2"/>
          <c:tx>
            <c:strRef>
              <c:f>CONVERGENCES!$G$1</c:f>
              <c:strCache>
                <c:ptCount val="1"/>
                <c:pt idx="0">
                  <c:v>Convergence Arbre Binomial</c:v>
                </c:pt>
              </c:strCache>
            </c:strRef>
          </c:tx>
          <c:spPr>
            <a:ln w="38100" cap="flat" cmpd="dbl" algn="ctr">
              <a:solidFill>
                <a:schemeClr val="accent3"/>
              </a:solidFill>
              <a:miter lim="800000"/>
            </a:ln>
            <a:effectLst/>
          </c:spPr>
          <c:marker>
            <c:symbol val="none"/>
          </c:marker>
          <c:val>
            <c:numRef>
              <c:f>CONVERGENCES!$H$2:$H$51</c:f>
              <c:numCache>
                <c:formatCode>General</c:formatCode>
                <c:ptCount val="50"/>
                <c:pt idx="0">
                  <c:v>28.555545518513913</c:v>
                </c:pt>
                <c:pt idx="1">
                  <c:v>28.846917555159845</c:v>
                </c:pt>
                <c:pt idx="2">
                  <c:v>28.812006799018668</c:v>
                </c:pt>
                <c:pt idx="3">
                  <c:v>28.717964981260355</c:v>
                </c:pt>
                <c:pt idx="4">
                  <c:v>28.762331285050234</c:v>
                </c:pt>
                <c:pt idx="5">
                  <c:v>28.790221742147502</c:v>
                </c:pt>
                <c:pt idx="6">
                  <c:v>28.788484834534554</c:v>
                </c:pt>
                <c:pt idx="7">
                  <c:v>28.771036864671906</c:v>
                </c:pt>
                <c:pt idx="8">
                  <c:v>28.745142837233061</c:v>
                </c:pt>
                <c:pt idx="9">
                  <c:v>28.748736130174663</c:v>
                </c:pt>
                <c:pt idx="10">
                  <c:v>28.766571254636279</c:v>
                </c:pt>
                <c:pt idx="11">
                  <c:v>28.774667171274615</c:v>
                </c:pt>
                <c:pt idx="12">
                  <c:v>28.77575963598111</c:v>
                </c:pt>
                <c:pt idx="13">
                  <c:v>28.771765488715857</c:v>
                </c:pt>
                <c:pt idx="14">
                  <c:v>28.764053647575228</c:v>
                </c:pt>
                <c:pt idx="15">
                  <c:v>28.753617733608539</c:v>
                </c:pt>
                <c:pt idx="16">
                  <c:v>28.747536235701418</c:v>
                </c:pt>
                <c:pt idx="17">
                  <c:v>28.757913977467407</c:v>
                </c:pt>
                <c:pt idx="18">
                  <c:v>28.764605673841942</c:v>
                </c:pt>
                <c:pt idx="19">
                  <c:v>28.76828136290435</c:v>
                </c:pt>
                <c:pt idx="20">
                  <c:v>28.769478646451802</c:v>
                </c:pt>
                <c:pt idx="21">
                  <c:v>28.768632186161703</c:v>
                </c:pt>
                <c:pt idx="22">
                  <c:v>28.766095868061146</c:v>
                </c:pt>
                <c:pt idx="23">
                  <c:v>28.762159640182443</c:v>
                </c:pt>
                <c:pt idx="24">
                  <c:v>28.757062432832068</c:v>
                </c:pt>
                <c:pt idx="25">
                  <c:v>28.751002165756429</c:v>
                </c:pt>
                <c:pt idx="26">
                  <c:v>28.754888440938103</c:v>
                </c:pt>
                <c:pt idx="27">
                  <c:v>28.759639626564265</c:v>
                </c:pt>
                <c:pt idx="28">
                  <c:v>28.762969008042433</c:v>
                </c:pt>
                <c:pt idx="29">
                  <c:v>28.765052689681113</c:v>
                </c:pt>
                <c:pt idx="30">
                  <c:v>28.76604302864774</c:v>
                </c:pt>
                <c:pt idx="31">
                  <c:v>28.766072276660307</c:v>
                </c:pt>
                <c:pt idx="32">
                  <c:v>28.765255592188915</c:v>
                </c:pt>
                <c:pt idx="33">
                  <c:v>28.763693543603349</c:v>
                </c:pt>
                <c:pt idx="34">
                  <c:v>28.761474199364596</c:v>
                </c:pt>
                <c:pt idx="35">
                  <c:v>28.75867488068857</c:v>
                </c:pt>
                <c:pt idx="36">
                  <c:v>28.755363637495439</c:v>
                </c:pt>
                <c:pt idx="37">
                  <c:v>28.75391497056302</c:v>
                </c:pt>
                <c:pt idx="38">
                  <c:v>28.757275216048441</c:v>
                </c:pt>
                <c:pt idx="39">
                  <c:v>28.759898965565561</c:v>
                </c:pt>
                <c:pt idx="40">
                  <c:v>28.761852863024945</c:v>
                </c:pt>
                <c:pt idx="41">
                  <c:v>28.763196941323521</c:v>
                </c:pt>
                <c:pt idx="42">
                  <c:v>28.763985373267225</c:v>
                </c:pt>
                <c:pt idx="43">
                  <c:v>28.764267125605951</c:v>
                </c:pt>
                <c:pt idx="44">
                  <c:v>28.764086530444452</c:v>
                </c:pt>
                <c:pt idx="45">
                  <c:v>28.763483785322194</c:v>
                </c:pt>
                <c:pt idx="46">
                  <c:v>28.762495392176536</c:v>
                </c:pt>
                <c:pt idx="47">
                  <c:v>28.761154543502716</c:v>
                </c:pt>
                <c:pt idx="48">
                  <c:v>28.759491462675729</c:v>
                </c:pt>
                <c:pt idx="49">
                  <c:v>28.757533704786248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CD24-468E-843D-5FA08EC67AD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1723862976"/>
        <c:axId val="1723864896"/>
      </c:lineChart>
      <c:catAx>
        <c:axId val="1723862976"/>
        <c:scaling>
          <c:orientation val="minMax"/>
        </c:scaling>
        <c:delete val="0"/>
        <c:axPos val="b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3864896"/>
        <c:crosses val="autoZero"/>
        <c:auto val="1"/>
        <c:lblAlgn val="ctr"/>
        <c:lblOffset val="100"/>
        <c:noMultiLvlLbl val="0"/>
      </c:catAx>
      <c:valAx>
        <c:axId val="17238648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  <a:alpha val="32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3175" cap="flat" cmpd="sng" algn="ctr">
            <a:solidFill>
              <a:schemeClr val="tx1">
                <a:lumMod val="15000"/>
                <a:lumOff val="85000"/>
              </a:schemeClr>
            </a:solidFill>
            <a:round/>
            <a:tailEnd type="none" w="med" len="lg"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fr-FR"/>
          </a:p>
        </c:txPr>
        <c:crossAx val="172386297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t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900" b="0" i="0" u="none" strike="noStrike" kern="120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fr-FR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fr-FR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3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900" kern="1200" cap="all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0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0"/>
    <cs:effectRef idx="0"/>
    <cs:fontRef idx="minor">
      <a:schemeClr val="tx1"/>
    </cs:fontRef>
    <cs:spPr>
      <a:ln w="38100" cap="flat" cmpd="dbl" algn="ctr">
        <a:solidFill>
          <a:schemeClr val="phClr"/>
        </a:solidFill>
        <a:miter lim="800000"/>
      </a:ln>
    </cs:spPr>
  </cs:dataPointLine>
  <cs:dataPointMarker>
    <cs:lnRef idx="0">
      <cs:styleClr val="auto"/>
    </cs:lnRef>
    <cs:fillRef idx="0">
      <cs:styleClr val="auto"/>
    </cs:fillRef>
    <cs:effectRef idx="0"/>
    <cs:fontRef idx="minor">
      <a:schemeClr val="tx1"/>
    </cs:fontRef>
    <cs:spPr>
      <a:solidFill>
        <a:schemeClr val="phClr"/>
      </a:solidFill>
      <a:ln w="9525" cap="flat" cmpd="sng" algn="ctr">
        <a:solidFill>
          <a:schemeClr val="lt1"/>
        </a:solidFill>
        <a:round/>
      </a:ln>
    </cs:spPr>
  </cs:dataPointMarker>
  <cs:dataPointMarkerLayout symbol="circle" size="6"/>
  <cs:dataPointWireframe>
    <cs:lnRef idx="0">
      <cs:styleClr val="auto"/>
    </cs:lnRef>
    <cs:fillRef idx="0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ln w="9525">
        <a:solidFill>
          <a:schemeClr val="tx1">
            <a:lumMod val="15000"/>
            <a:lumOff val="85000"/>
          </a:schemeClr>
        </a:solidFill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dropLine>
  <cs:errorBar>
    <cs:lnRef idx="0"/>
    <cs:fillRef idx="0"/>
    <cs:effectRef idx="0"/>
    <cs:fontRef idx="minor">
      <a:schemeClr val="tx1"/>
    </cs:fontRef>
    <cs:spPr>
      <a:ln w="9525">
        <a:solidFill>
          <a:schemeClr val="tx1">
            <a:lumMod val="65000"/>
            <a:lumOff val="35000"/>
          </a:schemeClr>
        </a:solidFill>
      </a:ln>
    </cs:spPr>
  </cs:errorBar>
  <cs:floor>
    <cs:lnRef idx="0"/>
    <cs:fillRef idx="0"/>
    <cs:effectRef idx="0"/>
    <cs:fontRef idx="minor">
      <a:schemeClr val="tx1"/>
    </cs:fontRef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  <a:alpha val="32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>
        <a:solidFill>
          <a:schemeClr val="tx1">
            <a:lumMod val="5000"/>
            <a:lumOff val="95000"/>
            <a:alpha val="32000"/>
          </a:schemeClr>
        </a:solidFill>
      </a:ln>
    </cs:spPr>
  </cs:gridlineMinor>
  <cs:hiLoLine>
    <cs:lnRef idx="0"/>
    <cs:fillRef idx="0"/>
    <cs:effectRef idx="0"/>
    <cs:fontRef idx="minor">
      <a:schemeClr val="tx1"/>
    </cs:fontRef>
    <cs:spPr>
      <a:ln w="9525">
        <a:solidFill>
          <a:schemeClr val="tx1"/>
        </a:solidFill>
      </a:ln>
    </cs:spPr>
  </cs:hiLoLine>
  <cs:leader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/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seriesAxis>
  <cs:seriesLine>
    <cs:lnRef idx="0"/>
    <cs:fillRef idx="0"/>
    <cs:effectRef idx="0"/>
    <cs:fontRef idx="minor">
      <a:schemeClr val="tx1"/>
    </cs:fontRef>
    <cs:spPr>
      <a:ln w="9525">
        <a:solidFill>
          <a:schemeClr val="tx1">
            <a:lumMod val="35000"/>
            <a:lumOff val="65000"/>
          </a:schemeClr>
        </a:solidFill>
      </a:ln>
    </cs:spPr>
  </cs:seriesLine>
  <cs:title>
    <cs:lnRef idx="0"/>
    <cs:fillRef idx="0"/>
    <cs:effectRef idx="0"/>
    <cs:fontRef idx="minor">
      <a:schemeClr val="tx1">
        <a:lumMod val="50000"/>
        <a:lumOff val="50000"/>
      </a:schemeClr>
    </cs:fontRef>
    <cs:defRPr sz="1800" b="1" kern="1200" cap="all" spc="15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2700" cap="rnd"/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>
        <a:solidFill>
          <a:schemeClr val="tx1">
            <a:lumMod val="65000"/>
            <a:lumOff val="3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3175" cap="flat" cmpd="sng" algn="ctr">
        <a:solidFill>
          <a:schemeClr val="tx1">
            <a:lumMod val="15000"/>
            <a:lumOff val="85000"/>
          </a:schemeClr>
        </a:solidFill>
        <a:round/>
        <a:tailEnd type="none" w="med" len="lg"/>
      </a:ln>
    </cs:spPr>
    <cs:defRPr sz="900" kern="1200"/>
  </cs:valueAxis>
  <cs:wall>
    <cs:lnRef idx="0"/>
    <cs:fillRef idx="0"/>
    <cs:effectRef idx="0"/>
    <cs:fontRef idx="minor">
      <a:schemeClr val="tx1"/>
    </cs:fontRef>
  </cs:wall>
</cs:chartStyle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ctrlProps/ctrlProp3.xml><?xml version="1.0" encoding="utf-8"?>
<formControlPr xmlns="http://schemas.microsoft.com/office/spreadsheetml/2009/9/main" objectType="Button" lockText="1"/>
</file>

<file path=xl/ctrlProps/ctrlProp4.xml><?xml version="1.0" encoding="utf-8"?>
<formControlPr xmlns="http://schemas.microsoft.com/office/spreadsheetml/2009/9/main" objectType="Button" lockText="1"/>
</file>

<file path=xl/ctrlProps/ctrlProp5.xml><?xml version="1.0" encoding="utf-8"?>
<formControlPr xmlns="http://schemas.microsoft.com/office/spreadsheetml/2009/9/main" objectType="Button" lockText="1"/>
</file>

<file path=xl/ctrlProps/ctrlProp6.xml><?xml version="1.0" encoding="utf-8"?>
<formControlPr xmlns="http://schemas.microsoft.com/office/spreadsheetml/2009/9/main" objectType="Button" lockText="1"/>
</file>

<file path=xl/drawings/_rels/drawing3.xml.rels><?xml version="1.0" encoding="UTF-8" standalone="yes"?>
<Relationships xmlns="http://schemas.openxmlformats.org/package/2006/relationships"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635000</xdr:colOff>
          <xdr:row>10</xdr:row>
          <xdr:rowOff>12700</xdr:rowOff>
        </xdr:from>
        <xdr:to>
          <xdr:col>2</xdr:col>
          <xdr:colOff>292100</xdr:colOff>
          <xdr:row>12</xdr:row>
          <xdr:rowOff>101600</xdr:rowOff>
        </xdr:to>
        <xdr:sp macro="" textlink="">
          <xdr:nvSpPr>
            <xdr:cNvPr id="1025" name="Button 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 du Prix de l'option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635000</xdr:colOff>
          <xdr:row>15</xdr:row>
          <xdr:rowOff>63500</xdr:rowOff>
        </xdr:from>
        <xdr:to>
          <xdr:col>2</xdr:col>
          <xdr:colOff>304800</xdr:colOff>
          <xdr:row>18</xdr:row>
          <xdr:rowOff>12700</xdr:rowOff>
        </xdr:to>
        <xdr:sp macro="" textlink="">
          <xdr:nvSpPr>
            <xdr:cNvPr id="1026" name="Button 2" hidden="1">
              <a:extLst>
                <a:ext uri="{63B3BB69-23CF-44E3-9099-C40C66FF867C}">
                  <a14:compatExt spid="_x0000_s1026"/>
                </a:ext>
                <a:ext uri="{FF2B5EF4-FFF2-40B4-BE49-F238E27FC236}">
                  <a16:creationId xmlns:a16="http://schemas.microsoft.com/office/drawing/2014/main" id="{00000000-0008-0000-0000-000002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Générer l'arbre binominal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203200</xdr:colOff>
          <xdr:row>20</xdr:row>
          <xdr:rowOff>0</xdr:rowOff>
        </xdr:from>
        <xdr:to>
          <xdr:col>2</xdr:col>
          <xdr:colOff>698500</xdr:colOff>
          <xdr:row>22</xdr:row>
          <xdr:rowOff>63500</xdr:rowOff>
        </xdr:to>
        <xdr:sp macro="" textlink="">
          <xdr:nvSpPr>
            <xdr:cNvPr id="1027" name="Button 3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2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EFFACER L'ARBRE BINOMIAL</a:t>
              </a:r>
            </a:p>
          </xdr:txBody>
        </xdr:sp>
        <xdr:clientData fPrintsWithSheet="0"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3</xdr:col>
          <xdr:colOff>0</xdr:colOff>
          <xdr:row>0</xdr:row>
          <xdr:rowOff>177800</xdr:rowOff>
        </xdr:from>
        <xdr:to>
          <xdr:col>4</xdr:col>
          <xdr:colOff>749300</xdr:colOff>
          <xdr:row>3</xdr:row>
          <xdr:rowOff>0</xdr:rowOff>
        </xdr:to>
        <xdr:sp macro="" textlink="">
          <xdr:nvSpPr>
            <xdr:cNvPr id="2049" name="Button 1" hidden="1">
              <a:extLst>
                <a:ext uri="{63B3BB69-23CF-44E3-9099-C40C66FF867C}">
                  <a14:compatExt spid="_x0000_s2049"/>
                </a:ext>
                <a:ext uri="{FF2B5EF4-FFF2-40B4-BE49-F238E27FC236}">
                  <a16:creationId xmlns:a16="http://schemas.microsoft.com/office/drawing/2014/main" id="{00000000-0008-0000-0100-000001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Calcul du prix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749300</xdr:colOff>
          <xdr:row>1</xdr:row>
          <xdr:rowOff>12700</xdr:rowOff>
        </xdr:from>
        <xdr:to>
          <xdr:col>8</xdr:col>
          <xdr:colOff>0</xdr:colOff>
          <xdr:row>2</xdr:row>
          <xdr:rowOff>177800</xdr:rowOff>
        </xdr:to>
        <xdr:sp macro="" textlink="">
          <xdr:nvSpPr>
            <xdr:cNvPr id="2050" name="Button 2" hidden="1">
              <a:extLst>
                <a:ext uri="{63B3BB69-23CF-44E3-9099-C40C66FF867C}">
                  <a14:compatExt spid="_x0000_s2050"/>
                </a:ext>
                <a:ext uri="{FF2B5EF4-FFF2-40B4-BE49-F238E27FC236}">
                  <a16:creationId xmlns:a16="http://schemas.microsoft.com/office/drawing/2014/main" id="{00000000-0008-0000-0100-000002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Générer l'arbre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4</xdr:col>
          <xdr:colOff>393700</xdr:colOff>
          <xdr:row>4</xdr:row>
          <xdr:rowOff>0</xdr:rowOff>
        </xdr:from>
        <xdr:to>
          <xdr:col>6</xdr:col>
          <xdr:colOff>444500</xdr:colOff>
          <xdr:row>6</xdr:row>
          <xdr:rowOff>0</xdr:rowOff>
        </xdr:to>
        <xdr:sp macro="" textlink="">
          <xdr:nvSpPr>
            <xdr:cNvPr id="2051" name="Button 3" hidden="1">
              <a:extLst>
                <a:ext uri="{63B3BB69-23CF-44E3-9099-C40C66FF867C}">
                  <a14:compatExt spid="_x0000_s2051"/>
                </a:ext>
                <a:ext uri="{FF2B5EF4-FFF2-40B4-BE49-F238E27FC236}">
                  <a16:creationId xmlns:a16="http://schemas.microsoft.com/office/drawing/2014/main" id="{00000000-0008-0000-0100-00000308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27432" tIns="22860" rIns="27432" bIns="22860" anchor="ctr" upright="1"/>
            <a:lstStyle/>
            <a:p>
              <a:pPr algn="ctr" rtl="0">
                <a:defRPr sz="1000"/>
              </a:pPr>
              <a:r>
                <a:rPr lang="fr-FR" sz="1100" b="0" i="0" u="none" strike="noStrike" baseline="0">
                  <a:solidFill>
                    <a:srgbClr val="000000"/>
                  </a:solidFill>
                  <a:latin typeface="Calibri" pitchFamily="2" charset="0"/>
                  <a:cs typeface="Calibri" pitchFamily="2" charset="0"/>
                </a:rPr>
                <a:t>Effacer l'arbre</a:t>
              </a:r>
            </a:p>
          </xdr:txBody>
        </xdr:sp>
        <xdr:clientData fPrintsWithSheet="0"/>
      </xdr:twoCellAnchor>
    </mc:Choice>
    <mc:Fallback/>
  </mc:AlternateContent>
</xdr:wsDr>
</file>

<file path=xl/drawings/drawing3.xml><?xml version="1.0" encoding="utf-8"?>
<xdr:wsDr xmlns:xdr="http://schemas.openxmlformats.org/drawingml/2006/spreadsheetDrawing" xmlns:a="http://schemas.openxmlformats.org/drawingml/2006/main">
  <xdr:twoCellAnchor>
    <xdr:from>
      <xdr:col>8</xdr:col>
      <xdr:colOff>619125</xdr:colOff>
      <xdr:row>0</xdr:row>
      <xdr:rowOff>114300</xdr:rowOff>
    </xdr:from>
    <xdr:to>
      <xdr:col>15</xdr:col>
      <xdr:colOff>295275</xdr:colOff>
      <xdr:row>18</xdr:row>
      <xdr:rowOff>123825</xdr:rowOff>
    </xdr:to>
    <xdr:graphicFrame macro="">
      <xdr:nvGraphicFramePr>
        <xdr:cNvPr id="2" name="Graphique 1">
          <a:extLst>
            <a:ext uri="{FF2B5EF4-FFF2-40B4-BE49-F238E27FC236}">
              <a16:creationId xmlns:a16="http://schemas.microsoft.com/office/drawing/2014/main" id="{3BEEF7D2-5437-BB8E-C6C1-CE49DEAE2259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</xdr:wsDr>
</file>

<file path=xl/theme/theme1.xml><?xml version="1.0" encoding="utf-8"?>
<a:theme xmlns:a="http://schemas.openxmlformats.org/drawingml/2006/main" name="Thème Office 2013 – 2022">
  <a:themeElements>
    <a:clrScheme name="Office 2013 - 2022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 2013 - 2022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 2013 - 2022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2013 - 2022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1.vml"/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Relationship Id="rId6" Type="http://schemas.openxmlformats.org/officeDocument/2006/relationships/ctrlProp" Target="../ctrlProps/ctrlProp3.xml"/><Relationship Id="rId5" Type="http://schemas.openxmlformats.org/officeDocument/2006/relationships/ctrlProp" Target="../ctrlProps/ctrlProp2.xml"/><Relationship Id="rId4" Type="http://schemas.openxmlformats.org/officeDocument/2006/relationships/ctrlProp" Target="../ctrlProps/ctrlProp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4.xml"/><Relationship Id="rId2" Type="http://schemas.openxmlformats.org/officeDocument/2006/relationships/vmlDrawing" Target="../drawings/vmlDrawing2.vml"/><Relationship Id="rId1" Type="http://schemas.openxmlformats.org/officeDocument/2006/relationships/drawing" Target="../drawings/drawing2.xml"/><Relationship Id="rId5" Type="http://schemas.openxmlformats.org/officeDocument/2006/relationships/ctrlProp" Target="../ctrlProps/ctrlProp6.xml"/><Relationship Id="rId4" Type="http://schemas.openxmlformats.org/officeDocument/2006/relationships/ctrlProp" Target="../ctrlProps/ctrlProp5.xml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drawing" Target="../drawings/drawing3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Feuil1"/>
  <dimension ref="A1:AB23"/>
  <sheetViews>
    <sheetView showGridLines="0" tabSelected="1" zoomScale="75" workbookViewId="0">
      <selection activeCell="E23" sqref="E23"/>
    </sheetView>
  </sheetViews>
  <sheetFormatPr baseColWidth="10" defaultRowHeight="15" x14ac:dyDescent="0.2"/>
  <cols>
    <col min="9" max="9" width="11.5" customWidth="1"/>
  </cols>
  <sheetData>
    <row r="1" spans="1:28" ht="16" thickBot="1" x14ac:dyDescent="0.25">
      <c r="A1" s="1" t="s">
        <v>8</v>
      </c>
      <c r="B1" s="2"/>
      <c r="AB1" s="4"/>
    </row>
    <row r="2" spans="1:28" ht="16" thickBot="1" x14ac:dyDescent="0.25">
      <c r="A2" s="5" t="s">
        <v>1</v>
      </c>
      <c r="B2" s="5" t="s">
        <v>0</v>
      </c>
      <c r="Z2" s="4">
        <v>297.04956696730699</v>
      </c>
    </row>
    <row r="3" spans="1:28" ht="16" thickBot="1" x14ac:dyDescent="0.25">
      <c r="A3" s="5" t="s">
        <v>2</v>
      </c>
      <c r="B3" s="5">
        <v>150</v>
      </c>
      <c r="X3" s="4">
        <v>277.43110850639204</v>
      </c>
      <c r="AB3" s="4"/>
    </row>
    <row r="4" spans="1:28" ht="16" thickBot="1" x14ac:dyDescent="0.25">
      <c r="A4" s="5" t="s">
        <v>4</v>
      </c>
      <c r="B4" s="6">
        <v>46022</v>
      </c>
      <c r="V4" s="4">
        <v>259.10833923402589</v>
      </c>
      <c r="Z4" s="4">
        <v>259.10833923402589</v>
      </c>
    </row>
    <row r="5" spans="1:28" ht="16" thickBot="1" x14ac:dyDescent="0.25">
      <c r="A5" s="5" t="s">
        <v>3</v>
      </c>
      <c r="B5" s="26">
        <v>120</v>
      </c>
      <c r="T5" s="4">
        <v>241.99568614371228</v>
      </c>
      <c r="X5" s="4">
        <v>241.99568614371228</v>
      </c>
      <c r="AB5" s="4"/>
    </row>
    <row r="6" spans="1:28" ht="16" thickBot="1" x14ac:dyDescent="0.25">
      <c r="A6" s="5" t="s">
        <v>5</v>
      </c>
      <c r="B6" s="7">
        <v>0.03</v>
      </c>
      <c r="R6" s="4">
        <v>226.01322784626069</v>
      </c>
      <c r="V6" s="4">
        <v>226.01322784626069</v>
      </c>
      <c r="Z6" s="4">
        <v>226.01322784626069</v>
      </c>
    </row>
    <row r="7" spans="1:28" ht="16" thickBot="1" x14ac:dyDescent="0.25">
      <c r="A7" s="5" t="s">
        <v>6</v>
      </c>
      <c r="B7" s="7">
        <v>0.2</v>
      </c>
      <c r="P7" s="4">
        <v>211.08632131214955</v>
      </c>
      <c r="T7" s="4">
        <v>211.08632131214958</v>
      </c>
      <c r="X7" s="4">
        <v>211.08632131214958</v>
      </c>
      <c r="AB7" s="4"/>
    </row>
    <row r="8" spans="1:28" ht="16" thickBot="1" x14ac:dyDescent="0.25">
      <c r="A8" s="5" t="s">
        <v>7</v>
      </c>
      <c r="B8" s="5">
        <v>10</v>
      </c>
      <c r="N8" s="4">
        <v>197.14525326546385</v>
      </c>
      <c r="R8" s="4">
        <v>197.14525326546385</v>
      </c>
      <c r="V8" s="4">
        <v>197.14525326546385</v>
      </c>
      <c r="Z8" s="4">
        <v>197.14525326546385</v>
      </c>
    </row>
    <row r="9" spans="1:28" ht="16" thickBot="1" x14ac:dyDescent="0.25">
      <c r="B9" s="9">
        <v>30.042009083460044</v>
      </c>
      <c r="L9" s="4">
        <v>184.12491460130838</v>
      </c>
      <c r="P9" s="4">
        <v>184.12491460130838</v>
      </c>
      <c r="T9" s="4">
        <v>184.12491460130838</v>
      </c>
      <c r="X9" s="4">
        <v>184.1249146013084</v>
      </c>
      <c r="AB9" s="4"/>
    </row>
    <row r="10" spans="1:28" ht="16" thickBot="1" x14ac:dyDescent="0.25">
      <c r="J10" s="4">
        <v>171.96449630612588</v>
      </c>
      <c r="N10" s="4">
        <v>171.96449630612588</v>
      </c>
      <c r="R10" s="4">
        <v>171.96449630612588</v>
      </c>
      <c r="V10" s="4">
        <v>171.96449630612588</v>
      </c>
      <c r="Z10" s="4">
        <v>171.96449630612588</v>
      </c>
    </row>
    <row r="11" spans="1:28" ht="16" thickBot="1" x14ac:dyDescent="0.25">
      <c r="H11" s="4">
        <v>160.60720546077278</v>
      </c>
      <c r="L11" s="4">
        <v>160.60720546077278</v>
      </c>
      <c r="P11" s="4">
        <v>160.60720546077278</v>
      </c>
      <c r="T11" s="4">
        <v>160.60720546077278</v>
      </c>
      <c r="X11" s="4">
        <v>160.60720546077278</v>
      </c>
      <c r="AB11" s="4"/>
    </row>
    <row r="12" spans="1:28" ht="16" thickBot="1" x14ac:dyDescent="0.25">
      <c r="F12" s="8">
        <v>150</v>
      </c>
      <c r="G12" s="3"/>
      <c r="H12" s="3"/>
      <c r="I12" s="3"/>
      <c r="J12" s="8">
        <v>150</v>
      </c>
      <c r="K12" s="3"/>
      <c r="L12" s="3"/>
      <c r="M12" s="3"/>
      <c r="N12" s="8">
        <v>150</v>
      </c>
      <c r="O12" s="3"/>
      <c r="P12" s="3"/>
      <c r="Q12" s="3"/>
      <c r="R12" s="8">
        <v>150.00000000000003</v>
      </c>
      <c r="S12" s="3"/>
      <c r="T12" s="3"/>
      <c r="U12" s="3"/>
      <c r="V12" s="8">
        <v>150</v>
      </c>
      <c r="W12" s="3"/>
      <c r="X12" s="3"/>
      <c r="Y12" s="3"/>
      <c r="Z12" s="8">
        <v>150</v>
      </c>
      <c r="AA12" s="3"/>
      <c r="AB12" s="3"/>
    </row>
    <row r="13" spans="1:28" ht="16" thickBot="1" x14ac:dyDescent="0.25">
      <c r="H13" s="4">
        <v>140.09334098958266</v>
      </c>
      <c r="L13" s="4">
        <v>140.09334098958266</v>
      </c>
      <c r="P13" s="4">
        <v>140.09334098958266</v>
      </c>
      <c r="T13" s="4">
        <v>140.09334098958266</v>
      </c>
      <c r="X13" s="4">
        <v>140.09334098958266</v>
      </c>
      <c r="AB13" s="4"/>
    </row>
    <row r="14" spans="1:28" ht="16" thickBot="1" x14ac:dyDescent="0.25">
      <c r="J14" s="4">
        <v>130.84096126415653</v>
      </c>
      <c r="N14" s="4">
        <v>130.84096126415653</v>
      </c>
      <c r="R14" s="4">
        <v>130.84096126415653</v>
      </c>
      <c r="V14" s="4">
        <v>130.84096126415653</v>
      </c>
      <c r="Z14" s="4">
        <v>130.84096126415653</v>
      </c>
    </row>
    <row r="15" spans="1:28" ht="16" thickBot="1" x14ac:dyDescent="0.25">
      <c r="L15" s="4">
        <v>122.19964934522837</v>
      </c>
      <c r="P15" s="4">
        <v>122.19964934522835</v>
      </c>
      <c r="T15" s="4">
        <v>122.19964934522837</v>
      </c>
      <c r="X15" s="4">
        <v>122.19964934522837</v>
      </c>
      <c r="AB15" s="4"/>
    </row>
    <row r="16" spans="1:28" ht="16" thickBot="1" x14ac:dyDescent="0.25">
      <c r="N16" s="4">
        <v>114.12904763019004</v>
      </c>
      <c r="R16" s="4">
        <v>114.12904763019004</v>
      </c>
      <c r="V16" s="4">
        <v>114.12904763019004</v>
      </c>
      <c r="Z16" s="4">
        <v>114.12904763019006</v>
      </c>
    </row>
    <row r="17" spans="16:28" ht="16" thickBot="1" x14ac:dyDescent="0.25">
      <c r="P17" s="4">
        <v>106.59146390981688</v>
      </c>
      <c r="T17" s="4">
        <v>106.59146390981688</v>
      </c>
      <c r="X17" s="4">
        <v>106.59146390981689</v>
      </c>
      <c r="AB17" s="4"/>
    </row>
    <row r="18" spans="16:28" ht="16" thickBot="1" x14ac:dyDescent="0.25">
      <c r="R18" s="4">
        <v>99.551695333978458</v>
      </c>
      <c r="V18" s="4">
        <v>99.551695333978472</v>
      </c>
      <c r="Z18" s="4">
        <v>99.551695333978472</v>
      </c>
    </row>
    <row r="19" spans="16:28" ht="16" thickBot="1" x14ac:dyDescent="0.25">
      <c r="T19" s="4">
        <v>92.976864003427266</v>
      </c>
      <c r="X19" s="4">
        <v>92.976864003427266</v>
      </c>
      <c r="AB19" s="4"/>
    </row>
    <row r="20" spans="16:28" ht="16" thickBot="1" x14ac:dyDescent="0.25">
      <c r="V20" s="4">
        <v>86.836263419827915</v>
      </c>
      <c r="Z20" s="4">
        <v>86.83626341982793</v>
      </c>
    </row>
    <row r="21" spans="16:28" ht="16" thickBot="1" x14ac:dyDescent="0.25">
      <c r="X21" s="4">
        <v>81.10121507690117</v>
      </c>
      <c r="AB21" s="4"/>
    </row>
    <row r="22" spans="16:28" ht="16" thickBot="1" x14ac:dyDescent="0.25">
      <c r="Z22" s="4">
        <v>75.744934522918641</v>
      </c>
    </row>
    <row r="23" spans="16:28" ht="16" thickBot="1" x14ac:dyDescent="0.25">
      <c r="AB23" s="4"/>
    </row>
  </sheetData>
  <pageMargins left="0.7" right="0.7" top="0.75" bottom="0.75" header="0.3" footer="0.3"/>
  <pageSetup paperSize="9" orientation="portrait" r:id="rId1"/>
  <drawing r:id="rId2"/>
  <legacyDrawing r:id="rId3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1025" r:id="rId4" name="Button 1">
              <controlPr defaultSize="0" print="0" autoFill="0" autoPict="0" macro="[0]!CalculerCallBlackScholes">
                <anchor moveWithCells="1" sizeWithCells="1">
                  <from>
                    <xdr:col>0</xdr:col>
                    <xdr:colOff>635000</xdr:colOff>
                    <xdr:row>10</xdr:row>
                    <xdr:rowOff>12700</xdr:rowOff>
                  </from>
                  <to>
                    <xdr:col>2</xdr:col>
                    <xdr:colOff>292100</xdr:colOff>
                    <xdr:row>12</xdr:row>
                    <xdr:rowOff>101600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6" r:id="rId5" name="Button 2">
              <controlPr defaultSize="0" print="0" autoFill="0" autoPict="0" macro="[0]!ArbreBinomial">
                <anchor moveWithCells="1" sizeWithCells="1">
                  <from>
                    <xdr:col>0</xdr:col>
                    <xdr:colOff>635000</xdr:colOff>
                    <xdr:row>15</xdr:row>
                    <xdr:rowOff>63500</xdr:rowOff>
                  </from>
                  <to>
                    <xdr:col>2</xdr:col>
                    <xdr:colOff>304800</xdr:colOff>
                    <xdr:row>18</xdr:row>
                    <xdr:rowOff>12700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1027" r:id="rId6" name="Button 3">
              <controlPr defaultSize="0" print="0" autoFill="0" autoPict="0" macro="[0]!EffacerArbreBinominal">
                <anchor moveWithCells="1" sizeWithCells="1">
                  <from>
                    <xdr:col>0</xdr:col>
                    <xdr:colOff>203200</xdr:colOff>
                    <xdr:row>20</xdr:row>
                    <xdr:rowOff>0</xdr:rowOff>
                  </from>
                  <to>
                    <xdr:col>2</xdr:col>
                    <xdr:colOff>698500</xdr:colOff>
                    <xdr:row>22</xdr:row>
                    <xdr:rowOff>63500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ABC60C16-F466-4860-9FED-31897A2CA427}">
  <sheetPr codeName="Feuil2"/>
  <dimension ref="A1:Z32"/>
  <sheetViews>
    <sheetView showGridLines="0" zoomScale="96" workbookViewId="0">
      <selection activeCell="B2" sqref="B2"/>
    </sheetView>
  </sheetViews>
  <sheetFormatPr baseColWidth="10" defaultRowHeight="15" x14ac:dyDescent="0.2"/>
  <cols>
    <col min="2" max="2" width="11.33203125" bestFit="1" customWidth="1"/>
  </cols>
  <sheetData>
    <row r="1" spans="1:26" x14ac:dyDescent="0.2">
      <c r="A1" s="27" t="s">
        <v>9</v>
      </c>
      <c r="B1" s="28"/>
    </row>
    <row r="2" spans="1:26" x14ac:dyDescent="0.2">
      <c r="A2" s="5" t="s">
        <v>1</v>
      </c>
      <c r="B2" s="5" t="s">
        <v>0</v>
      </c>
    </row>
    <row r="3" spans="1:26" x14ac:dyDescent="0.2">
      <c r="A3" s="5" t="s">
        <v>2</v>
      </c>
      <c r="B3" s="5">
        <v>170</v>
      </c>
    </row>
    <row r="4" spans="1:26" x14ac:dyDescent="0.2">
      <c r="A4" s="5" t="s">
        <v>3</v>
      </c>
      <c r="B4" s="5">
        <v>120</v>
      </c>
    </row>
    <row r="5" spans="1:26" x14ac:dyDescent="0.2">
      <c r="A5" s="5" t="s">
        <v>4</v>
      </c>
      <c r="B5" s="6">
        <v>46022</v>
      </c>
    </row>
    <row r="6" spans="1:26" x14ac:dyDescent="0.2">
      <c r="A6" s="5" t="s">
        <v>5</v>
      </c>
      <c r="B6" s="7">
        <v>0.03</v>
      </c>
    </row>
    <row r="7" spans="1:26" x14ac:dyDescent="0.2">
      <c r="A7" s="5" t="s">
        <v>6</v>
      </c>
      <c r="B7" s="7">
        <v>0.2</v>
      </c>
    </row>
    <row r="8" spans="1:26" x14ac:dyDescent="0.2">
      <c r="A8" s="5" t="s">
        <v>7</v>
      </c>
      <c r="B8" s="5">
        <v>10</v>
      </c>
    </row>
    <row r="9" spans="1:26" ht="16" thickBot="1" x14ac:dyDescent="0.25">
      <c r="B9" s="21">
        <v>50.303327841899367</v>
      </c>
    </row>
    <row r="10" spans="1:26" ht="16" thickTop="1" x14ac:dyDescent="0.2"/>
    <row r="12" spans="1:26" x14ac:dyDescent="0.2">
      <c r="Z12" s="20">
        <v>171.65063946317861</v>
      </c>
    </row>
    <row r="13" spans="1:26" x14ac:dyDescent="0.2">
      <c r="X13" s="19">
        <v>171.48485685107829</v>
      </c>
      <c r="Z13" s="20">
        <v>171.48485685107829</v>
      </c>
    </row>
    <row r="14" spans="1:26" x14ac:dyDescent="0.2">
      <c r="V14" s="18">
        <v>171.31923435416638</v>
      </c>
      <c r="X14" s="19">
        <v>171.31923435416638</v>
      </c>
      <c r="Z14" s="20">
        <v>171.31923435416638</v>
      </c>
    </row>
    <row r="15" spans="1:26" x14ac:dyDescent="0.2">
      <c r="T15" s="17">
        <v>171.15377181780136</v>
      </c>
      <c r="V15" s="18">
        <v>171.15377181780136</v>
      </c>
      <c r="X15" s="19">
        <v>171.15377181780136</v>
      </c>
      <c r="Z15" s="20">
        <v>171.15377181780136</v>
      </c>
    </row>
    <row r="16" spans="1:26" x14ac:dyDescent="0.2">
      <c r="R16" s="16">
        <v>170.98846908749101</v>
      </c>
      <c r="T16" s="17">
        <v>170.98846908749101</v>
      </c>
      <c r="V16" s="18">
        <v>170.98846908749101</v>
      </c>
      <c r="X16" s="19">
        <v>170.98846908749101</v>
      </c>
      <c r="Z16" s="20">
        <v>170.98846908749101</v>
      </c>
    </row>
    <row r="17" spans="6:26" x14ac:dyDescent="0.2">
      <c r="P17" s="15">
        <v>170.82332600889248</v>
      </c>
      <c r="R17" s="16">
        <v>170.82332600889248</v>
      </c>
      <c r="T17" s="17">
        <v>170.82332600889248</v>
      </c>
      <c r="V17" s="18">
        <v>170.82332600889248</v>
      </c>
      <c r="X17" s="19">
        <v>170.82332600889248</v>
      </c>
      <c r="Z17" s="20">
        <v>170.82332600889248</v>
      </c>
    </row>
    <row r="18" spans="6:26" x14ac:dyDescent="0.2">
      <c r="N18" s="14">
        <v>170.65834242781185</v>
      </c>
      <c r="P18" s="15">
        <v>170.65834242781185</v>
      </c>
      <c r="R18" s="16">
        <v>170.65834242781185</v>
      </c>
      <c r="T18" s="17">
        <v>170.65834242781185</v>
      </c>
      <c r="V18" s="18">
        <v>170.65834242781185</v>
      </c>
      <c r="X18" s="19">
        <v>170.65834242781185</v>
      </c>
      <c r="Z18" s="20">
        <v>170.65834242781185</v>
      </c>
    </row>
    <row r="19" spans="6:26" x14ac:dyDescent="0.2">
      <c r="L19" s="13">
        <v>170.49351819020416</v>
      </c>
      <c r="N19" s="14">
        <v>170.49351819020416</v>
      </c>
      <c r="P19" s="15">
        <v>170.49351819020416</v>
      </c>
      <c r="R19" s="16">
        <v>170.49351819020416</v>
      </c>
      <c r="T19" s="17">
        <v>170.49351819020416</v>
      </c>
      <c r="V19" s="18">
        <v>170.49351819020416</v>
      </c>
      <c r="X19" s="19">
        <v>170.49351819020416</v>
      </c>
      <c r="Z19" s="20">
        <v>170.49351819020416</v>
      </c>
    </row>
    <row r="20" spans="6:26" x14ac:dyDescent="0.2">
      <c r="J20" s="12">
        <v>170.32885314217322</v>
      </c>
      <c r="L20" s="13">
        <v>170.32885314217322</v>
      </c>
      <c r="N20" s="14">
        <v>170.32885314217322</v>
      </c>
      <c r="P20" s="15">
        <v>170.32885314217322</v>
      </c>
      <c r="R20" s="16">
        <v>170.32885314217322</v>
      </c>
      <c r="T20" s="17">
        <v>170.32885314217322</v>
      </c>
      <c r="V20" s="18">
        <v>170.32885314217322</v>
      </c>
      <c r="X20" s="19">
        <v>170.32885314217322</v>
      </c>
      <c r="Z20" s="20">
        <v>170.32885314217322</v>
      </c>
    </row>
    <row r="21" spans="6:26" x14ac:dyDescent="0.2">
      <c r="H21" s="11">
        <v>170.16434712997153</v>
      </c>
      <c r="J21" s="12">
        <v>170.16434712997153</v>
      </c>
      <c r="L21" s="13">
        <v>170.16434712997153</v>
      </c>
      <c r="N21" s="14">
        <v>170.16434712997153</v>
      </c>
      <c r="P21" s="15">
        <v>170.16434712997153</v>
      </c>
      <c r="R21" s="16">
        <v>170.16434712997153</v>
      </c>
      <c r="T21" s="17">
        <v>170.16434712997153</v>
      </c>
      <c r="V21" s="18">
        <v>170.16434712997153</v>
      </c>
      <c r="X21" s="19">
        <v>170.16434712997153</v>
      </c>
      <c r="Z21" s="20">
        <v>170.16434712997153</v>
      </c>
    </row>
    <row r="22" spans="6:26" x14ac:dyDescent="0.2">
      <c r="F22" s="10">
        <v>170</v>
      </c>
      <c r="H22" s="11">
        <v>170</v>
      </c>
      <c r="J22" s="12">
        <v>170</v>
      </c>
      <c r="L22" s="13">
        <v>170</v>
      </c>
      <c r="N22" s="14">
        <v>170</v>
      </c>
      <c r="P22" s="15">
        <v>170</v>
      </c>
      <c r="R22" s="16">
        <v>170</v>
      </c>
      <c r="T22" s="17">
        <v>170</v>
      </c>
      <c r="V22" s="18">
        <v>170</v>
      </c>
      <c r="X22" s="19">
        <v>170</v>
      </c>
      <c r="Z22" s="20">
        <v>170</v>
      </c>
    </row>
    <row r="23" spans="6:26" x14ac:dyDescent="0.2">
      <c r="H23" s="11">
        <v>170.16434712997153</v>
      </c>
      <c r="J23" s="12">
        <v>170.16434712997153</v>
      </c>
      <c r="L23" s="13">
        <v>170.16434712997153</v>
      </c>
      <c r="N23" s="14">
        <v>170.16434712997153</v>
      </c>
      <c r="P23" s="15">
        <v>170.16434712997153</v>
      </c>
      <c r="R23" s="16">
        <v>170.16434712997153</v>
      </c>
      <c r="T23" s="17">
        <v>170.16434712997153</v>
      </c>
      <c r="V23" s="18">
        <v>170.16434712997153</v>
      </c>
      <c r="X23" s="19">
        <v>170.16434712997153</v>
      </c>
      <c r="Z23" s="20">
        <v>170.16434712997153</v>
      </c>
    </row>
    <row r="24" spans="6:26" x14ac:dyDescent="0.2">
      <c r="J24" s="12">
        <v>170.32885314217324</v>
      </c>
      <c r="L24" s="13">
        <v>170.32885314217324</v>
      </c>
      <c r="N24" s="14">
        <v>170.32885314217324</v>
      </c>
      <c r="P24" s="15">
        <v>170.32885314217324</v>
      </c>
      <c r="R24" s="16">
        <v>170.32885314217324</v>
      </c>
      <c r="T24" s="17">
        <v>170.32885314217324</v>
      </c>
      <c r="V24" s="18">
        <v>170.32885314217324</v>
      </c>
      <c r="X24" s="19">
        <v>170.32885314217324</v>
      </c>
      <c r="Z24" s="20">
        <v>170.32885314217324</v>
      </c>
    </row>
    <row r="25" spans="6:26" x14ac:dyDescent="0.2">
      <c r="L25" s="13">
        <v>170.49351819020416</v>
      </c>
      <c r="N25" s="14">
        <v>170.49351819020416</v>
      </c>
      <c r="P25" s="15">
        <v>170.49351819020416</v>
      </c>
      <c r="R25" s="16">
        <v>170.49351819020416</v>
      </c>
      <c r="T25" s="17">
        <v>170.49351819020416</v>
      </c>
      <c r="V25" s="18">
        <v>170.49351819020416</v>
      </c>
      <c r="X25" s="19">
        <v>170.49351819020416</v>
      </c>
      <c r="Z25" s="20">
        <v>170.49351819020416</v>
      </c>
    </row>
    <row r="26" spans="6:26" x14ac:dyDescent="0.2">
      <c r="N26" s="14">
        <v>170.65834242781185</v>
      </c>
      <c r="P26" s="15">
        <v>170.65834242781185</v>
      </c>
      <c r="R26" s="16">
        <v>170.65834242781185</v>
      </c>
      <c r="T26" s="17">
        <v>170.65834242781185</v>
      </c>
      <c r="V26" s="18">
        <v>170.65834242781185</v>
      </c>
      <c r="X26" s="19">
        <v>170.65834242781185</v>
      </c>
      <c r="Z26" s="20">
        <v>170.65834242781185</v>
      </c>
    </row>
    <row r="27" spans="6:26" x14ac:dyDescent="0.2">
      <c r="P27" s="15">
        <v>170.82332600889248</v>
      </c>
      <c r="R27" s="16">
        <v>170.82332600889248</v>
      </c>
      <c r="T27" s="17">
        <v>170.82332600889248</v>
      </c>
      <c r="V27" s="18">
        <v>170.82332600889248</v>
      </c>
      <c r="X27" s="19">
        <v>170.82332600889248</v>
      </c>
      <c r="Z27" s="20">
        <v>170.82332600889248</v>
      </c>
    </row>
    <row r="28" spans="6:26" x14ac:dyDescent="0.2">
      <c r="R28" s="16">
        <v>170.98846908749104</v>
      </c>
      <c r="T28" s="17">
        <v>170.98846908749104</v>
      </c>
      <c r="V28" s="18">
        <v>170.98846908749104</v>
      </c>
      <c r="X28" s="19">
        <v>170.98846908749104</v>
      </c>
      <c r="Z28" s="20">
        <v>170.98846908749104</v>
      </c>
    </row>
    <row r="29" spans="6:26" x14ac:dyDescent="0.2">
      <c r="T29" s="17">
        <v>171.15377181780136</v>
      </c>
      <c r="V29" s="18">
        <v>171.15377181780136</v>
      </c>
      <c r="X29" s="19">
        <v>171.15377181780136</v>
      </c>
      <c r="Z29" s="20">
        <v>171.15377181780136</v>
      </c>
    </row>
    <row r="30" spans="6:26" x14ac:dyDescent="0.2">
      <c r="V30" s="18">
        <v>171.31923435416641</v>
      </c>
      <c r="X30" s="19">
        <v>171.31923435416641</v>
      </c>
      <c r="Z30" s="20">
        <v>171.31923435416641</v>
      </c>
    </row>
    <row r="31" spans="6:26" x14ac:dyDescent="0.2">
      <c r="X31" s="19">
        <v>171.48485685107832</v>
      </c>
      <c r="Z31" s="20">
        <v>171.48485685107832</v>
      </c>
    </row>
    <row r="32" spans="6:26" x14ac:dyDescent="0.2">
      <c r="Z32" s="20">
        <v>171.65063946317866</v>
      </c>
    </row>
  </sheetData>
  <mergeCells count="1">
    <mergeCell ref="A1:B1"/>
  </mergeCells>
  <pageMargins left="0.7" right="0.7" top="0.75" bottom="0.75" header="0.3" footer="0.3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2049" r:id="rId3" name="Button 1">
              <controlPr defaultSize="0" print="0" autoFill="0" autoPict="0" macro="[0]!Module3.CalculerCallArbreTrinominal">
                <anchor moveWithCells="1" sizeWithCells="1">
                  <from>
                    <xdr:col>3</xdr:col>
                    <xdr:colOff>0</xdr:colOff>
                    <xdr:row>0</xdr:row>
                    <xdr:rowOff>177800</xdr:rowOff>
                  </from>
                  <to>
                    <xdr:col>4</xdr:col>
                    <xdr:colOff>749300</xdr:colOff>
                    <xdr:row>3</xdr:row>
                    <xdr:rowOff>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0" r:id="rId4" name="Button 2">
              <controlPr defaultSize="0" print="0" autoFill="0" autoPict="0" macro="[0]!GenererArbreTrinominal">
                <anchor moveWithCells="1" sizeWithCells="1">
                  <from>
                    <xdr:col>5</xdr:col>
                    <xdr:colOff>749300</xdr:colOff>
                    <xdr:row>1</xdr:row>
                    <xdr:rowOff>12700</xdr:rowOff>
                  </from>
                  <to>
                    <xdr:col>8</xdr:col>
                    <xdr:colOff>0</xdr:colOff>
                    <xdr:row>2</xdr:row>
                    <xdr:rowOff>177800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2051" r:id="rId5" name="Button 3">
              <controlPr defaultSize="0" print="0" autoFill="0" autoPict="0" macro="[0]!EffacerArbreTrinominal">
                <anchor moveWithCells="1" sizeWithCells="1">
                  <from>
                    <xdr:col>4</xdr:col>
                    <xdr:colOff>393700</xdr:colOff>
                    <xdr:row>4</xdr:row>
                    <xdr:rowOff>0</xdr:rowOff>
                  </from>
                  <to>
                    <xdr:col>6</xdr:col>
                    <xdr:colOff>444500</xdr:colOff>
                    <xdr:row>6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8E43157-CE0A-4DCA-9C2F-1CAB1170F131}">
  <sheetPr codeName="Feuil3"/>
  <dimension ref="A1:H51"/>
  <sheetViews>
    <sheetView workbookViewId="0">
      <selection activeCell="D15" sqref="D15"/>
    </sheetView>
  </sheetViews>
  <sheetFormatPr baseColWidth="10" defaultRowHeight="15" x14ac:dyDescent="0.2"/>
  <cols>
    <col min="7" max="7" width="16.5" customWidth="1"/>
    <col min="8" max="8" width="16.83203125" customWidth="1"/>
  </cols>
  <sheetData>
    <row r="1" spans="1:8" ht="26.25" customHeight="1" x14ac:dyDescent="0.2">
      <c r="A1" s="27"/>
      <c r="B1" s="28"/>
      <c r="E1" s="24" t="s">
        <v>7</v>
      </c>
      <c r="F1" s="24" t="s">
        <v>10</v>
      </c>
      <c r="G1" s="23" t="s">
        <v>11</v>
      </c>
      <c r="H1" s="23" t="s">
        <v>12</v>
      </c>
    </row>
    <row r="2" spans="1:8" x14ac:dyDescent="0.2">
      <c r="A2" s="5" t="s">
        <v>1</v>
      </c>
      <c r="B2" s="5" t="s">
        <v>0</v>
      </c>
      <c r="E2" s="22">
        <v>5</v>
      </c>
      <c r="F2" s="25">
        <f>CalculPrixBS($B$2,$B$3,$B$4,$B$5,$B$6,$B$7)</f>
        <v>28.759485824635565</v>
      </c>
      <c r="G2" s="25">
        <f>CalculArbreBinomial($B$2,$B$3,$B$4,$B$5,$B$6,$B$7,E2)</f>
        <v>28.756812554088736</v>
      </c>
      <c r="H2" s="25">
        <f>PrixArbreTrinomial($B$2,$B$3,$B$4,$B$5,$B$6,$B$7,E2)</f>
        <v>28.555545518513913</v>
      </c>
    </row>
    <row r="3" spans="1:8" x14ac:dyDescent="0.2">
      <c r="A3" s="5" t="s">
        <v>2</v>
      </c>
      <c r="B3" s="5">
        <v>160</v>
      </c>
      <c r="E3" s="22">
        <v>10</v>
      </c>
      <c r="F3" s="25">
        <f t="shared" ref="F3:F51" si="0">CalculPrixBS($B$2,$B$3,$B$4,$B$5,$B$6,$B$7)</f>
        <v>28.759485824635565</v>
      </c>
      <c r="G3" s="25">
        <f t="shared" ref="G3:G51" si="1">CalculArbreBinomial($B$2,$B$3,$B$4,$B$5,$B$6,$B$7,E3)</f>
        <v>28.555545518513934</v>
      </c>
      <c r="H3" s="25">
        <f t="shared" ref="H3:H51" si="2">PrixArbreTrinomial($B$2,$B$3,$B$4,$B$5,$B$6,$B$7,E3)</f>
        <v>28.846917555159845</v>
      </c>
    </row>
    <row r="4" spans="1:8" x14ac:dyDescent="0.2">
      <c r="A4" s="5" t="s">
        <v>3</v>
      </c>
      <c r="B4" s="5">
        <v>140</v>
      </c>
      <c r="E4" s="22">
        <v>15</v>
      </c>
      <c r="F4" s="25">
        <f t="shared" si="0"/>
        <v>28.759485824635565</v>
      </c>
      <c r="G4" s="25">
        <f t="shared" si="1"/>
        <v>28.866978605965365</v>
      </c>
      <c r="H4" s="25">
        <f t="shared" si="2"/>
        <v>28.812006799018668</v>
      </c>
    </row>
    <row r="5" spans="1:8" x14ac:dyDescent="0.2">
      <c r="A5" s="5" t="s">
        <v>4</v>
      </c>
      <c r="B5" s="6">
        <v>46022</v>
      </c>
      <c r="E5" s="22">
        <v>20</v>
      </c>
      <c r="F5" s="25">
        <f t="shared" si="0"/>
        <v>28.759485824635565</v>
      </c>
      <c r="G5" s="25">
        <f t="shared" si="1"/>
        <v>28.846917555159926</v>
      </c>
      <c r="H5" s="25">
        <f t="shared" si="2"/>
        <v>28.717964981260355</v>
      </c>
    </row>
    <row r="6" spans="1:8" x14ac:dyDescent="0.2">
      <c r="A6" s="5" t="s">
        <v>5</v>
      </c>
      <c r="B6" s="7">
        <v>0.03</v>
      </c>
      <c r="E6" s="22">
        <v>25</v>
      </c>
      <c r="F6" s="25">
        <f t="shared" si="0"/>
        <v>28.759485824635565</v>
      </c>
      <c r="G6" s="25">
        <f t="shared" si="1"/>
        <v>28.687325575663881</v>
      </c>
      <c r="H6" s="25">
        <f t="shared" si="2"/>
        <v>28.762331285050234</v>
      </c>
    </row>
    <row r="7" spans="1:8" x14ac:dyDescent="0.2">
      <c r="A7" s="5" t="s">
        <v>6</v>
      </c>
      <c r="B7" s="7">
        <v>0.2</v>
      </c>
      <c r="E7" s="22">
        <v>30</v>
      </c>
      <c r="F7" s="25">
        <f t="shared" si="0"/>
        <v>28.759485824635565</v>
      </c>
      <c r="G7" s="25">
        <f t="shared" si="1"/>
        <v>28.812006799018519</v>
      </c>
      <c r="H7" s="25">
        <f t="shared" si="2"/>
        <v>28.790221742147502</v>
      </c>
    </row>
    <row r="8" spans="1:8" x14ac:dyDescent="0.2">
      <c r="A8" s="5" t="s">
        <v>7</v>
      </c>
      <c r="B8" s="5">
        <v>10</v>
      </c>
      <c r="E8" s="22">
        <v>35</v>
      </c>
      <c r="F8" s="25">
        <f t="shared" si="0"/>
        <v>28.759485824635565</v>
      </c>
      <c r="G8" s="25">
        <f t="shared" si="1"/>
        <v>28.800854004588896</v>
      </c>
      <c r="H8" s="25">
        <f t="shared" si="2"/>
        <v>28.788484834534554</v>
      </c>
    </row>
    <row r="9" spans="1:8" x14ac:dyDescent="0.2">
      <c r="E9" s="22">
        <v>40</v>
      </c>
      <c r="F9" s="25">
        <f t="shared" si="0"/>
        <v>28.759485824635565</v>
      </c>
      <c r="G9" s="25">
        <f t="shared" si="1"/>
        <v>28.717964981260234</v>
      </c>
      <c r="H9" s="25">
        <f t="shared" si="2"/>
        <v>28.771036864671906</v>
      </c>
    </row>
    <row r="10" spans="1:8" x14ac:dyDescent="0.2">
      <c r="E10" s="22">
        <v>45</v>
      </c>
      <c r="F10" s="25">
        <f t="shared" si="0"/>
        <v>28.759485824635565</v>
      </c>
      <c r="G10" s="25">
        <f t="shared" si="1"/>
        <v>28.805537880000831</v>
      </c>
      <c r="H10" s="25">
        <f t="shared" si="2"/>
        <v>28.745142837233061</v>
      </c>
    </row>
    <row r="11" spans="1:8" x14ac:dyDescent="0.2">
      <c r="E11" s="22">
        <v>50</v>
      </c>
      <c r="F11" s="25">
        <f t="shared" si="0"/>
        <v>28.759485824635565</v>
      </c>
      <c r="G11" s="25">
        <f t="shared" si="1"/>
        <v>28.762331285049878</v>
      </c>
      <c r="H11" s="25">
        <f t="shared" si="2"/>
        <v>28.748736130174663</v>
      </c>
    </row>
    <row r="12" spans="1:8" x14ac:dyDescent="0.2">
      <c r="E12" s="22">
        <v>55</v>
      </c>
      <c r="F12" s="25">
        <f t="shared" si="0"/>
        <v>28.759485824635565</v>
      </c>
      <c r="G12" s="25">
        <f t="shared" si="1"/>
        <v>28.771480284952037</v>
      </c>
      <c r="H12" s="25">
        <f t="shared" si="2"/>
        <v>28.766571254636279</v>
      </c>
    </row>
    <row r="13" spans="1:8" x14ac:dyDescent="0.2">
      <c r="E13" s="22">
        <v>60</v>
      </c>
      <c r="F13" s="25">
        <f t="shared" si="0"/>
        <v>28.759485824635565</v>
      </c>
      <c r="G13" s="25">
        <f t="shared" si="1"/>
        <v>28.790221742147565</v>
      </c>
      <c r="H13" s="25">
        <f t="shared" si="2"/>
        <v>28.774667171274615</v>
      </c>
    </row>
    <row r="14" spans="1:8" x14ac:dyDescent="0.2">
      <c r="E14" s="22">
        <v>65</v>
      </c>
      <c r="F14" s="25">
        <f t="shared" si="0"/>
        <v>28.759485824635565</v>
      </c>
      <c r="G14" s="25">
        <f t="shared" si="1"/>
        <v>28.723156732011706</v>
      </c>
      <c r="H14" s="25">
        <f t="shared" si="2"/>
        <v>28.77575963598111</v>
      </c>
    </row>
    <row r="15" spans="1:8" x14ac:dyDescent="0.2">
      <c r="E15" s="22">
        <v>70</v>
      </c>
      <c r="F15" s="25">
        <f t="shared" si="0"/>
        <v>28.759485824635565</v>
      </c>
      <c r="G15" s="25">
        <f t="shared" si="1"/>
        <v>28.788484834534454</v>
      </c>
      <c r="H15" s="25">
        <f t="shared" si="2"/>
        <v>28.771765488715857</v>
      </c>
    </row>
    <row r="16" spans="1:8" x14ac:dyDescent="0.2">
      <c r="E16" s="22">
        <v>75</v>
      </c>
      <c r="F16" s="25">
        <f t="shared" si="0"/>
        <v>28.759485824635565</v>
      </c>
      <c r="G16" s="25">
        <f t="shared" si="1"/>
        <v>28.760281306322234</v>
      </c>
      <c r="H16" s="25">
        <f t="shared" si="2"/>
        <v>28.764053647575228</v>
      </c>
    </row>
    <row r="17" spans="5:8" x14ac:dyDescent="0.2">
      <c r="E17" s="22">
        <v>80</v>
      </c>
      <c r="F17" s="25">
        <f t="shared" si="0"/>
        <v>28.759485824635565</v>
      </c>
      <c r="G17" s="25">
        <f t="shared" si="1"/>
        <v>28.771036864672428</v>
      </c>
      <c r="H17" s="25">
        <f t="shared" si="2"/>
        <v>28.753617733608539</v>
      </c>
    </row>
    <row r="18" spans="5:8" x14ac:dyDescent="0.2">
      <c r="E18" s="22">
        <v>85</v>
      </c>
      <c r="F18" s="25">
        <f t="shared" si="0"/>
        <v>28.759485824635565</v>
      </c>
      <c r="G18" s="25">
        <f t="shared" si="1"/>
        <v>28.778544996869734</v>
      </c>
      <c r="H18" s="25">
        <f t="shared" si="2"/>
        <v>28.747536235701418</v>
      </c>
    </row>
    <row r="19" spans="5:8" x14ac:dyDescent="0.2">
      <c r="E19" s="22">
        <v>90</v>
      </c>
      <c r="F19" s="25">
        <f t="shared" si="0"/>
        <v>28.759485824635565</v>
      </c>
      <c r="G19" s="25">
        <f t="shared" si="1"/>
        <v>28.745142837232333</v>
      </c>
      <c r="H19" s="25">
        <f t="shared" si="2"/>
        <v>28.757913977467407</v>
      </c>
    </row>
    <row r="20" spans="5:8" x14ac:dyDescent="0.2">
      <c r="E20" s="22">
        <v>95</v>
      </c>
      <c r="F20" s="25">
        <f t="shared" si="0"/>
        <v>28.759485824635565</v>
      </c>
      <c r="G20" s="25">
        <f t="shared" si="1"/>
        <v>28.781800643717187</v>
      </c>
      <c r="H20" s="25">
        <f t="shared" si="2"/>
        <v>28.764605673841942</v>
      </c>
    </row>
    <row r="21" spans="5:8" x14ac:dyDescent="0.2">
      <c r="E21" s="22">
        <v>100</v>
      </c>
      <c r="F21" s="25">
        <f t="shared" si="0"/>
        <v>28.759485824635565</v>
      </c>
      <c r="G21" s="25">
        <f t="shared" si="1"/>
        <v>28.748736130174958</v>
      </c>
      <c r="H21" s="25">
        <f t="shared" si="2"/>
        <v>28.76828136290435</v>
      </c>
    </row>
    <row r="22" spans="5:8" x14ac:dyDescent="0.2">
      <c r="E22" s="22">
        <v>105</v>
      </c>
      <c r="F22" s="25">
        <f t="shared" si="0"/>
        <v>28.759485824635565</v>
      </c>
      <c r="G22" s="25">
        <f t="shared" si="1"/>
        <v>28.775398998349512</v>
      </c>
      <c r="H22" s="25">
        <f t="shared" si="2"/>
        <v>28.769478646451802</v>
      </c>
    </row>
    <row r="23" spans="5:8" x14ac:dyDescent="0.2">
      <c r="E23" s="22">
        <v>110</v>
      </c>
      <c r="F23" s="25">
        <f t="shared" si="0"/>
        <v>28.759485824635565</v>
      </c>
      <c r="G23" s="25">
        <f t="shared" si="1"/>
        <v>28.766571254636499</v>
      </c>
      <c r="H23" s="25">
        <f t="shared" si="2"/>
        <v>28.768632186161703</v>
      </c>
    </row>
    <row r="24" spans="5:8" x14ac:dyDescent="0.2">
      <c r="E24" s="22">
        <v>115</v>
      </c>
      <c r="F24" s="25">
        <f t="shared" si="0"/>
        <v>28.759485824635565</v>
      </c>
      <c r="G24" s="25">
        <f t="shared" si="1"/>
        <v>28.762706951799174</v>
      </c>
      <c r="H24" s="25">
        <f t="shared" si="2"/>
        <v>28.766095868061146</v>
      </c>
    </row>
    <row r="25" spans="5:8" x14ac:dyDescent="0.2">
      <c r="E25" s="22">
        <v>120</v>
      </c>
      <c r="F25" s="25">
        <f t="shared" si="0"/>
        <v>28.759485824635565</v>
      </c>
      <c r="G25" s="25">
        <f t="shared" si="1"/>
        <v>28.774667171274622</v>
      </c>
      <c r="H25" s="25">
        <f t="shared" si="2"/>
        <v>28.762159640182443</v>
      </c>
    </row>
    <row r="26" spans="5:8" x14ac:dyDescent="0.2">
      <c r="E26" s="22">
        <v>125</v>
      </c>
      <c r="F26" s="25">
        <f t="shared" si="0"/>
        <v>28.759485824635565</v>
      </c>
      <c r="G26" s="25">
        <f t="shared" si="1"/>
        <v>28.745907996865068</v>
      </c>
      <c r="H26" s="25">
        <f t="shared" si="2"/>
        <v>28.757062432832068</v>
      </c>
    </row>
    <row r="27" spans="5:8" x14ac:dyDescent="0.2">
      <c r="E27" s="22">
        <v>130</v>
      </c>
      <c r="F27" s="25">
        <f t="shared" si="0"/>
        <v>28.759485824635565</v>
      </c>
      <c r="G27" s="25">
        <f t="shared" si="1"/>
        <v>28.77575963598024</v>
      </c>
      <c r="H27" s="25">
        <f t="shared" si="2"/>
        <v>28.751002165756429</v>
      </c>
    </row>
    <row r="28" spans="5:8" x14ac:dyDescent="0.2">
      <c r="E28" s="22">
        <v>135</v>
      </c>
      <c r="F28" s="25">
        <f t="shared" si="0"/>
        <v>28.759485824635565</v>
      </c>
      <c r="G28" s="25">
        <f t="shared" si="1"/>
        <v>28.751615911865386</v>
      </c>
      <c r="H28" s="25">
        <f t="shared" si="2"/>
        <v>28.754888440938103</v>
      </c>
    </row>
    <row r="29" spans="5:8" x14ac:dyDescent="0.2">
      <c r="E29" s="22">
        <v>140</v>
      </c>
      <c r="F29" s="25">
        <f t="shared" si="0"/>
        <v>28.759485824635565</v>
      </c>
      <c r="G29" s="25">
        <f t="shared" si="1"/>
        <v>28.771765488715346</v>
      </c>
      <c r="H29" s="25">
        <f t="shared" si="2"/>
        <v>28.759639626564265</v>
      </c>
    </row>
    <row r="30" spans="5:8" x14ac:dyDescent="0.2">
      <c r="E30" s="22">
        <v>145</v>
      </c>
      <c r="F30" s="25">
        <f t="shared" si="0"/>
        <v>28.759485824635565</v>
      </c>
      <c r="G30" s="25">
        <f t="shared" si="1"/>
        <v>28.763550057142329</v>
      </c>
      <c r="H30" s="25">
        <f t="shared" si="2"/>
        <v>28.762969008042433</v>
      </c>
    </row>
    <row r="31" spans="5:8" x14ac:dyDescent="0.2">
      <c r="E31" s="22">
        <v>150</v>
      </c>
      <c r="F31" s="25">
        <f t="shared" si="0"/>
        <v>28.759485824635565</v>
      </c>
      <c r="G31" s="25">
        <f t="shared" si="1"/>
        <v>28.764053647575672</v>
      </c>
      <c r="H31" s="25">
        <f t="shared" si="2"/>
        <v>28.765052689681113</v>
      </c>
    </row>
    <row r="32" spans="5:8" x14ac:dyDescent="0.2">
      <c r="E32" s="22">
        <v>155</v>
      </c>
      <c r="F32" s="25">
        <f t="shared" si="0"/>
        <v>28.759485824635565</v>
      </c>
      <c r="G32" s="25">
        <f t="shared" si="1"/>
        <v>28.769979574305825</v>
      </c>
      <c r="H32" s="25">
        <f t="shared" si="2"/>
        <v>28.76604302864774</v>
      </c>
    </row>
    <row r="33" spans="5:8" x14ac:dyDescent="0.2">
      <c r="E33" s="22">
        <v>160</v>
      </c>
      <c r="F33" s="25">
        <f t="shared" si="0"/>
        <v>28.759485824635565</v>
      </c>
      <c r="G33" s="25">
        <f t="shared" si="1"/>
        <v>28.753617733609818</v>
      </c>
      <c r="H33" s="25">
        <f t="shared" si="2"/>
        <v>28.766072276660307</v>
      </c>
    </row>
    <row r="34" spans="5:8" x14ac:dyDescent="0.2">
      <c r="E34" s="22">
        <v>165</v>
      </c>
      <c r="F34" s="25">
        <f t="shared" si="0"/>
        <v>28.759485824635565</v>
      </c>
      <c r="G34" s="25">
        <f t="shared" si="1"/>
        <v>28.772129386975305</v>
      </c>
      <c r="H34" s="25">
        <f t="shared" si="2"/>
        <v>28.765255592188915</v>
      </c>
    </row>
    <row r="35" spans="5:8" x14ac:dyDescent="0.2">
      <c r="E35" s="22">
        <v>170</v>
      </c>
      <c r="F35" s="25">
        <f t="shared" si="0"/>
        <v>28.759485824635565</v>
      </c>
      <c r="G35" s="25">
        <f t="shared" si="1"/>
        <v>28.74753623570065</v>
      </c>
      <c r="H35" s="25">
        <f t="shared" si="2"/>
        <v>28.763693543603349</v>
      </c>
    </row>
    <row r="36" spans="5:8" x14ac:dyDescent="0.2">
      <c r="E36" s="22">
        <v>175</v>
      </c>
      <c r="F36" s="25">
        <f t="shared" si="0"/>
        <v>28.759485824635565</v>
      </c>
      <c r="G36" s="25">
        <f t="shared" si="1"/>
        <v>28.77093149802338</v>
      </c>
      <c r="H36" s="25">
        <f t="shared" si="2"/>
        <v>28.761474199364596</v>
      </c>
    </row>
    <row r="37" spans="5:8" x14ac:dyDescent="0.2">
      <c r="E37" s="22">
        <v>180</v>
      </c>
      <c r="F37" s="25">
        <f t="shared" si="0"/>
        <v>28.759485824635565</v>
      </c>
      <c r="G37" s="25">
        <f t="shared" si="1"/>
        <v>28.757913977467005</v>
      </c>
      <c r="H37" s="25">
        <f t="shared" si="2"/>
        <v>28.75867488068857</v>
      </c>
    </row>
    <row r="38" spans="5:8" x14ac:dyDescent="0.2">
      <c r="E38" s="22">
        <v>185</v>
      </c>
      <c r="F38" s="25">
        <f t="shared" si="0"/>
        <v>28.759485824635565</v>
      </c>
      <c r="G38" s="25">
        <f t="shared" si="1"/>
        <v>28.767103236661669</v>
      </c>
      <c r="H38" s="25">
        <f t="shared" si="2"/>
        <v>28.755363637495439</v>
      </c>
    </row>
    <row r="39" spans="5:8" x14ac:dyDescent="0.2">
      <c r="E39" s="22">
        <v>190</v>
      </c>
      <c r="F39" s="25">
        <f t="shared" si="0"/>
        <v>28.759485824635565</v>
      </c>
      <c r="G39" s="25">
        <f t="shared" si="1"/>
        <v>28.764605673842404</v>
      </c>
      <c r="H39" s="25">
        <f t="shared" si="2"/>
        <v>28.75391497056302</v>
      </c>
    </row>
    <row r="40" spans="5:8" x14ac:dyDescent="0.2">
      <c r="E40" s="22">
        <v>195</v>
      </c>
      <c r="F40" s="25">
        <f t="shared" si="0"/>
        <v>28.759485824635565</v>
      </c>
      <c r="G40" s="25">
        <f t="shared" si="1"/>
        <v>28.761202349764147</v>
      </c>
      <c r="H40" s="25">
        <f t="shared" si="2"/>
        <v>28.757275216048441</v>
      </c>
    </row>
    <row r="41" spans="5:8" x14ac:dyDescent="0.2">
      <c r="E41" s="22">
        <v>200</v>
      </c>
      <c r="F41" s="25">
        <f t="shared" si="0"/>
        <v>28.759485824635565</v>
      </c>
      <c r="G41" s="25">
        <f t="shared" si="1"/>
        <v>28.768281362904837</v>
      </c>
      <c r="H41" s="25">
        <f t="shared" si="2"/>
        <v>28.759898965565561</v>
      </c>
    </row>
    <row r="42" spans="5:8" x14ac:dyDescent="0.2">
      <c r="E42" s="22">
        <v>205</v>
      </c>
      <c r="F42" s="25">
        <f t="shared" si="0"/>
        <v>28.759485824635565</v>
      </c>
      <c r="G42" s="25">
        <f t="shared" si="1"/>
        <v>28.753666426955391</v>
      </c>
      <c r="H42" s="25">
        <f t="shared" si="2"/>
        <v>28.761852863024945</v>
      </c>
    </row>
    <row r="43" spans="5:8" x14ac:dyDescent="0.2">
      <c r="E43" s="22">
        <v>210</v>
      </c>
      <c r="F43" s="25">
        <f t="shared" si="0"/>
        <v>28.759485824635565</v>
      </c>
      <c r="G43" s="25">
        <f t="shared" si="1"/>
        <v>28.769478646452875</v>
      </c>
      <c r="H43" s="25">
        <f t="shared" si="2"/>
        <v>28.763196941323521</v>
      </c>
    </row>
    <row r="44" spans="5:8" x14ac:dyDescent="0.2">
      <c r="E44" s="22">
        <v>215</v>
      </c>
      <c r="F44" s="25">
        <f t="shared" si="0"/>
        <v>28.759485824635565</v>
      </c>
      <c r="G44" s="25">
        <f t="shared" si="1"/>
        <v>28.750201610067467</v>
      </c>
      <c r="H44" s="25">
        <f t="shared" si="2"/>
        <v>28.763985373267225</v>
      </c>
    </row>
    <row r="45" spans="5:8" x14ac:dyDescent="0.2">
      <c r="E45" s="22">
        <v>220</v>
      </c>
      <c r="F45" s="25">
        <f t="shared" si="0"/>
        <v>28.759485824635565</v>
      </c>
      <c r="G45" s="25">
        <f t="shared" si="1"/>
        <v>28.768632186160964</v>
      </c>
      <c r="H45" s="25">
        <f t="shared" si="2"/>
        <v>28.764267125605951</v>
      </c>
    </row>
    <row r="46" spans="5:8" x14ac:dyDescent="0.2">
      <c r="E46" s="22">
        <v>225</v>
      </c>
      <c r="F46" s="25">
        <f t="shared" si="0"/>
        <v>28.759485824635565</v>
      </c>
      <c r="G46" s="25">
        <f t="shared" si="1"/>
        <v>28.757631999576919</v>
      </c>
      <c r="H46" s="25">
        <f t="shared" si="2"/>
        <v>28.764086530444452</v>
      </c>
    </row>
    <row r="47" spans="5:8" x14ac:dyDescent="0.2">
      <c r="E47" s="22">
        <v>230</v>
      </c>
      <c r="F47" s="25">
        <f t="shared" si="0"/>
        <v>28.759485824635565</v>
      </c>
      <c r="G47" s="25">
        <f t="shared" si="1"/>
        <v>28.766095868060951</v>
      </c>
      <c r="H47" s="25">
        <f t="shared" si="2"/>
        <v>28.763483785322194</v>
      </c>
    </row>
    <row r="48" spans="5:8" x14ac:dyDescent="0.2">
      <c r="E48" s="22">
        <v>235</v>
      </c>
      <c r="F48" s="25">
        <f t="shared" si="0"/>
        <v>28.759485824635565</v>
      </c>
      <c r="G48" s="25">
        <f t="shared" si="1"/>
        <v>28.762752623908625</v>
      </c>
      <c r="H48" s="25">
        <f t="shared" si="2"/>
        <v>28.762495392176536</v>
      </c>
    </row>
    <row r="49" spans="5:8" x14ac:dyDescent="0.2">
      <c r="E49" s="22">
        <v>240</v>
      </c>
      <c r="F49" s="25">
        <f t="shared" si="0"/>
        <v>28.759485824635565</v>
      </c>
      <c r="G49" s="25">
        <f t="shared" si="1"/>
        <v>28.762159640181537</v>
      </c>
      <c r="H49" s="25">
        <f t="shared" si="2"/>
        <v>28.761154543502716</v>
      </c>
    </row>
    <row r="50" spans="5:8" x14ac:dyDescent="0.2">
      <c r="E50" s="22">
        <v>245</v>
      </c>
      <c r="F50" s="25">
        <f t="shared" si="0"/>
        <v>28.759485824635565</v>
      </c>
      <c r="G50" s="25">
        <f t="shared" si="1"/>
        <v>28.765908474073612</v>
      </c>
      <c r="H50" s="25">
        <f t="shared" si="2"/>
        <v>28.759491462675729</v>
      </c>
    </row>
    <row r="51" spans="5:8" x14ac:dyDescent="0.2">
      <c r="E51" s="22">
        <v>250</v>
      </c>
      <c r="F51" s="25">
        <f t="shared" si="0"/>
        <v>28.759485824635565</v>
      </c>
      <c r="G51" s="25">
        <f t="shared" si="1"/>
        <v>28.757062432831283</v>
      </c>
      <c r="H51" s="25">
        <f t="shared" si="2"/>
        <v>28.757533704786248</v>
      </c>
    </row>
  </sheetData>
  <mergeCells count="1">
    <mergeCell ref="A1:B1"/>
  </mergeCells>
  <pageMargins left="0.7" right="0.7" top="0.75" bottom="0.75" header="0.3" footer="0.3"/>
  <drawing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4" baseType="variant">
      <vt:variant>
        <vt:lpstr>Feuilles de calcul</vt:lpstr>
      </vt:variant>
      <vt:variant>
        <vt:i4>3</vt:i4>
      </vt:variant>
      <vt:variant>
        <vt:lpstr>Plages nommées</vt:lpstr>
      </vt:variant>
      <vt:variant>
        <vt:i4>16</vt:i4>
      </vt:variant>
    </vt:vector>
  </HeadingPairs>
  <TitlesOfParts>
    <vt:vector size="19" baseType="lpstr">
      <vt:lpstr>ARBRE_BINOMIAL</vt:lpstr>
      <vt:lpstr>ARBRE_TRINOMIAL</vt:lpstr>
      <vt:lpstr>CONVERGENCES</vt:lpstr>
      <vt:lpstr>MATURITE</vt:lpstr>
      <vt:lpstr>MATURITE_B</vt:lpstr>
      <vt:lpstr>NOMBRE</vt:lpstr>
      <vt:lpstr>NOMBRE_B</vt:lpstr>
      <vt:lpstr>OPTION</vt:lpstr>
      <vt:lpstr>OPTION_B</vt:lpstr>
      <vt:lpstr>PRIX</vt:lpstr>
      <vt:lpstr>PRIX_B</vt:lpstr>
      <vt:lpstr>SIGMA</vt:lpstr>
      <vt:lpstr>SIGMA_B</vt:lpstr>
      <vt:lpstr>SOUS_JACENT</vt:lpstr>
      <vt:lpstr>SOUS_JACENT_B</vt:lpstr>
      <vt:lpstr>STRIKE</vt:lpstr>
      <vt:lpstr>STRIKE_B</vt:lpstr>
      <vt:lpstr>TAUX</vt:lpstr>
      <vt:lpstr>TAUX_B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Aguibou Assanatou DEMBELE</dc:creator>
  <cp:lastModifiedBy>Axel Ange Yvan Loukou</cp:lastModifiedBy>
  <dcterms:created xsi:type="dcterms:W3CDTF">2024-10-16T08:22:58Z</dcterms:created>
  <dcterms:modified xsi:type="dcterms:W3CDTF">2025-03-09T20:55:32Z</dcterms:modified>
</cp:coreProperties>
</file>